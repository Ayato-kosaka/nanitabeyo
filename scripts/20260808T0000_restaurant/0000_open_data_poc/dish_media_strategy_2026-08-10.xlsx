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7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660892a65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結論" sheetId="1" r:id="R2eb86779cf09461a"/>
    <x:sheet xmlns:r="http://schemas.openxmlformats.org/officeDocument/2006/relationships" name="候補比較" sheetId="2" r:id="Rd4a471103b054022"/>
    <x:sheet xmlns:r="http://schemas.openxmlformats.org/officeDocument/2006/relationships" name="Instagram" sheetId="3" r:id="R341ccd9447934c57"/>
    <x:sheet xmlns:r="http://schemas.openxmlformats.org/officeDocument/2006/relationships" name="現行実装監査" sheetId="4" r:id="Rbccfa94f9eb343bf"/>
    <x:sheet xmlns:r="http://schemas.openxmlformats.org/officeDocument/2006/relationships" name="公開ゲート" sheetId="5" r:id="R4c3a6cc2c31242a3"/>
    <x:sheet xmlns:r="http://schemas.openxmlformats.org/officeDocument/2006/relationships" name="データモデル" sheetId="6" r:id="Rd51d517ec58042f3"/>
    <x:sheet xmlns:r="http://schemas.openxmlformats.org/officeDocument/2006/relationships" name="POC計画" sheetId="7" r:id="Rd7dea093b7a64902"/>
    <x:sheet xmlns:r="http://schemas.openxmlformats.org/officeDocument/2006/relationships" name="出典" sheetId="8" r:id="Rd71d64149ae149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7">
    <x:font>
      <x:sz val="11"/>
      <x:name val="Carlito"/>
    </x:font>
    <x:font>
      <x:b/>
      <x:sz val="20"/>
      <x:color rgb="FFFFFFFF"/>
      <x:name val="Noto Sans JP"/>
    </x:font>
    <x:font>
      <x:i/>
      <x:sz val="10"/>
      <x:color rgb="FF374151"/>
      <x:name val="Noto Sans JP"/>
    </x:font>
    <x:font>
      <x:b/>
      <x:sz val="10"/>
      <x:color rgb="FF166534"/>
      <x:name val="Noto Sans JP"/>
    </x:font>
    <x:font>
      <x:b/>
      <x:sz val="22"/>
      <x:color rgb="FF166534"/>
      <x:name val="Noto Sans JP"/>
    </x:font>
    <x:font>
      <x:sz val="9"/>
      <x:color rgb="FF374151"/>
      <x:name val="Noto Sans JP"/>
    </x:font>
    <x:font>
      <x:b/>
      <x:sz val="10"/>
      <x:color rgb="FFB45309"/>
      <x:name val="Noto Sans JP"/>
    </x:font>
    <x:font>
      <x:b/>
      <x:sz val="22"/>
      <x:color rgb="FFB45309"/>
      <x:name val="Noto Sans JP"/>
    </x:font>
    <x:font>
      <x:b/>
      <x:sz val="10"/>
      <x:color rgb="FFB91C1C"/>
      <x:name val="Noto Sans JP"/>
    </x:font>
    <x:font>
      <x:b/>
      <x:sz val="22"/>
      <x:color rgb="FFB91C1C"/>
      <x:name val="Noto Sans JP"/>
    </x:font>
    <x:font>
      <x:b/>
      <x:sz val="10"/>
      <x:color rgb="FF4338CA"/>
      <x:name val="Noto Sans JP"/>
    </x:font>
    <x:font>
      <x:b/>
      <x:sz val="22"/>
      <x:color rgb="FF4338CA"/>
      <x:name val="Noto Sans JP"/>
    </x:font>
    <x:font>
      <x:b/>
      <x:sz val="11"/>
      <x:color rgb="FFFFFFFF"/>
      <x:name val="Noto Sans JP"/>
    </x:font>
    <x:font>
      <x:b/>
      <x:sz val="10"/>
      <x:color rgb="FFFFFFFF"/>
      <x:name val="Noto Sans JP"/>
    </x:font>
    <x:font>
      <x:sz val="9"/>
      <x:color rgb="FF111827"/>
      <x:name val="Noto Sans JP"/>
    </x:font>
    <x:font>
      <x:b/>
      <x:sz val="13"/>
      <x:color rgb="FF0B1F33"/>
      <x:name val="Noto Sans JP"/>
    </x:font>
    <x:font>
      <x:sz val="9"/>
      <x:color rgb="FF1D4ED8"/>
      <x:name val="Noto Sans JP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3F4F6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DBEAFE"/>
      </x:patternFill>
    </x:fill>
    <x:fill>
      <x:patternFill patternType="solid">
        <x:fgColor rgb="FF4338CA"/>
      </x:patternFill>
    </x:fill>
  </x:fills>
  <x:borders count="36">
    <x:border/>
    <x:border>
      <x:left style="thin">
        <x:color rgb="FF166534"/>
      </x:left>
      <x:top style="thin">
        <x:color rgb="FF166534"/>
      </x:top>
      <x:bottom style="thin">
        <x:color rgb="FF166534"/>
      </x:bottom>
    </x:border>
    <x:border>
      <x:right style="thin">
        <x:color rgb="FF166534"/>
      </x:right>
      <x:top style="thin">
        <x:color rgb="FF166534"/>
      </x:top>
      <x:bottom style="thin">
        <x:color rgb="FF166534"/>
      </x:bottom>
    </x:border>
    <x:border>
      <x:left style="thin">
        <x:color rgb="FF166534"/>
      </x:left>
      <x:top style="thin">
        <x:color rgb="FF166534"/>
      </x:top>
    </x:border>
    <x:border>
      <x:right style="thin">
        <x:color rgb="FF166534"/>
      </x:right>
      <x:top style="thin">
        <x:color rgb="FF166534"/>
      </x:top>
    </x:border>
    <x:border>
      <x:left style="thin">
        <x:color rgb="FF166534"/>
      </x:left>
      <x:bottom style="thin">
        <x:color rgb="FF166534"/>
      </x:bottom>
    </x:border>
    <x:border>
      <x:right style="thin">
        <x:color rgb="FF166534"/>
      </x:right>
      <x:bottom style="thin">
        <x:color rgb="FF166534"/>
      </x:bottom>
    </x:border>
    <x:border>
      <x:left style="thin">
        <x:color rgb="FFB45309"/>
      </x:left>
      <x:top style="thin">
        <x:color rgb="FFB45309"/>
      </x:top>
      <x:bottom style="thin">
        <x:color rgb="FFB45309"/>
      </x:bottom>
    </x:border>
    <x:border>
      <x:right style="thin">
        <x:color rgb="FFB45309"/>
      </x:right>
      <x:top style="thin">
        <x:color rgb="FFB45309"/>
      </x:top>
      <x:bottom style="thin">
        <x:color rgb="FFB45309"/>
      </x:bottom>
    </x:border>
    <x:border>
      <x:left style="thin">
        <x:color rgb="FFB45309"/>
      </x:left>
      <x:top style="thin">
        <x:color rgb="FFB45309"/>
      </x:top>
    </x:border>
    <x:border>
      <x:right style="thin">
        <x:color rgb="FFB45309"/>
      </x:right>
      <x:top style="thin">
        <x:color rgb="FFB45309"/>
      </x:top>
    </x:border>
    <x:border>
      <x:left style="thin">
        <x:color rgb="FFB45309"/>
      </x:left>
      <x:bottom style="thin">
        <x:color rgb="FFB45309"/>
      </x:bottom>
    </x:border>
    <x:border>
      <x:right style="thin">
        <x:color rgb="FFB45309"/>
      </x:right>
      <x:bottom style="thin">
        <x:color rgb="FFB45309"/>
      </x:bottom>
    </x:border>
    <x:border>
      <x:left style="thin">
        <x:color rgb="FFB91C1C"/>
      </x:left>
      <x:top style="thin">
        <x:color rgb="FFB91C1C"/>
      </x:top>
      <x:bottom style="thin">
        <x:color rgb="FFB91C1C"/>
      </x:bottom>
    </x:border>
    <x:border>
      <x:right style="thin">
        <x:color rgb="FFB91C1C"/>
      </x:right>
      <x:top style="thin">
        <x:color rgb="FFB91C1C"/>
      </x:top>
      <x:bottom style="thin">
        <x:color rgb="FFB91C1C"/>
      </x:bottom>
    </x:border>
    <x:border>
      <x:left style="thin">
        <x:color rgb="FFB91C1C"/>
      </x:left>
      <x:top style="thin">
        <x:color rgb="FFB91C1C"/>
      </x:top>
    </x:border>
    <x:border>
      <x:right style="thin">
        <x:color rgb="FFB91C1C"/>
      </x:right>
      <x:top style="thin">
        <x:color rgb="FFB91C1C"/>
      </x:top>
    </x:border>
    <x:border>
      <x:left style="thin">
        <x:color rgb="FFB91C1C"/>
      </x:left>
      <x:bottom style="thin">
        <x:color rgb="FFB91C1C"/>
      </x:bottom>
    </x:border>
    <x:border>
      <x:right style="thin">
        <x:color rgb="FFB91C1C"/>
      </x:right>
      <x:bottom style="thin">
        <x:color rgb="FFB91C1C"/>
      </x:bottom>
    </x:border>
    <x:border>
      <x:left style="thin">
        <x:color rgb="FF4338CA"/>
      </x:left>
      <x:top style="thin">
        <x:color rgb="FF4338CA"/>
      </x:top>
      <x:bottom style="thin">
        <x:color rgb="FF4338CA"/>
      </x:bottom>
    </x:border>
    <x:border>
      <x:right style="thin">
        <x:color rgb="FF4338CA"/>
      </x:right>
      <x:top style="thin">
        <x:color rgb="FF4338CA"/>
      </x:top>
      <x:bottom style="thin">
        <x:color rgb="FF4338CA"/>
      </x:bottom>
    </x:border>
    <x:border>
      <x:left style="thin">
        <x:color rgb="FF4338CA"/>
      </x:left>
      <x:top style="thin">
        <x:color rgb="FF4338CA"/>
      </x:top>
    </x:border>
    <x:border>
      <x:right style="thin">
        <x:color rgb="FF4338CA"/>
      </x:right>
      <x:top style="thin">
        <x:color rgb="FF4338CA"/>
      </x:top>
    </x:border>
    <x:border>
      <x:left style="thin">
        <x:color rgb="FF4338CA"/>
      </x:left>
      <x:bottom style="thin">
        <x:color rgb="FF4338CA"/>
      </x:bottom>
    </x:border>
    <x:border>
      <x:right style="thin">
        <x:color rgb="FF4338CA"/>
      </x:right>
      <x:bottom style="thin">
        <x:color rgb="FF4338CA"/>
      </x:bottom>
    </x:border>
    <x:border>
      <x:top style="thin">
        <x:color rgb="FF4338CA"/>
      </x:top>
      <x:bottom style="thin">
        <x:color rgb="FF4338CA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medium">
        <x:color rgb="FF4338CA"/>
      </x:left>
      <x:top style="medium">
        <x:color rgb="FF4338CA"/>
      </x:top>
    </x:border>
    <x:border>
      <x:top style="medium">
        <x:color rgb="FF4338CA"/>
      </x:top>
    </x:border>
    <x:border>
      <x:right style="medium">
        <x:color rgb="FF4338CA"/>
      </x:right>
      <x:top style="medium">
        <x:color rgb="FF4338CA"/>
      </x:top>
    </x:border>
    <x:border>
      <x:left style="medium">
        <x:color rgb="FF4338CA"/>
      </x:left>
    </x:border>
    <x:border>
      <x:right style="medium">
        <x:color rgb="FF4338CA"/>
      </x:right>
    </x:border>
    <x:border>
      <x:left style="medium">
        <x:color rgb="FF4338CA"/>
      </x:left>
      <x:bottom style="medium">
        <x:color rgb="FF4338CA"/>
      </x:bottom>
    </x:border>
    <x:border>
      <x:bottom style="medium">
        <x:color rgb="FF4338CA"/>
      </x:bottom>
    </x:border>
    <x:border>
      <x:right style="medium">
        <x:color rgb="FF4338CA"/>
      </x:right>
      <x:bottom style="medium">
        <x:color rgb="FF4338CA"/>
      </x:bottom>
    </x:border>
  </x:borders>
  <x:cellStyleXfs count="1">
    <x:xf numFmtId="0" fontId="0" fillId="0" borderId="0"/>
  </x:cellStyleXfs>
  <x:cellXfs count="2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horizontal="left" wrapText="1"/>
    </x:xf>
    <x:xf numFmtId="0" fontId="5" fillId="4" borderId="4" xfId="0" applyNumberFormat="1" applyFont="1" applyFill="1" applyBorder="1" applyAlignment="1">
      <x:alignment horizontal="left" wrapText="1"/>
    </x:xf>
    <x:xf numFmtId="0" fontId="5" fillId="4" borderId="5" xfId="0" applyNumberFormat="1" applyFont="1" applyFill="1" applyBorder="1" applyAlignment="1">
      <x:alignment horizontal="left" wrapText="1"/>
    </x:xf>
    <x:xf numFmtId="0" fontId="5" fillId="4" borderId="6" xfId="0" applyNumberFormat="1" applyFont="1" applyFill="1" applyBorder="1" applyAlignment="1">
      <x:alignment horizontal="left" wrapText="1"/>
    </x:xf>
    <x:xf numFmtId="0" fontId="5" fillId="4" borderId="3" xfId="0" applyNumberFormat="1" applyFont="1" applyFill="1" applyBorder="1" applyAlignment="1">
      <x:alignment horizontal="left" vertical="center" wrapText="1"/>
    </x:xf>
    <x:xf numFmtId="0" fontId="5" fillId="4" borderId="4" xfId="0" applyNumberFormat="1" applyFont="1" applyFill="1" applyBorder="1" applyAlignment="1">
      <x:alignment horizontal="left" vertical="center" wrapText="1"/>
    </x:xf>
    <x:xf numFmtId="0" fontId="5" fillId="4" borderId="5" xfId="0" applyNumberFormat="1" applyFont="1" applyFill="1" applyBorder="1" applyAlignment="1">
      <x:alignment horizontal="left" vertical="center" wrapText="1"/>
    </x:xf>
    <x:xf numFmtId="0" fontId="5" fillId="4" borderId="6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7" xfId="0" applyNumberFormat="1" applyFont="1" applyFill="1" applyBorder="1" applyAlignment="1">
      <x:alignment horizontal="center"/>
    </x:xf>
    <x:xf numFmtId="0" fontId="6" fillId="5" borderId="8" xfId="0" applyNumberFormat="1" applyFont="1" applyFill="1" applyBorder="1" applyAlignment="1">
      <x:alignment horizont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6" fillId="5" borderId="8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7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>
      <x:alignment horizont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horizontal="left" wrapText="1"/>
    </x:xf>
    <x:xf numFmtId="0" fontId="5" fillId="5" borderId="10" xfId="0" applyNumberFormat="1" applyFont="1" applyFill="1" applyBorder="1" applyAlignment="1">
      <x:alignment horizontal="left" wrapText="1"/>
    </x:xf>
    <x:xf numFmtId="0" fontId="5" fillId="5" borderId="11" xfId="0" applyNumberFormat="1" applyFont="1" applyFill="1" applyBorder="1" applyAlignment="1">
      <x:alignment horizontal="left" wrapText="1"/>
    </x:xf>
    <x:xf numFmtId="0" fontId="5" fillId="5" borderId="12" xfId="0" applyNumberFormat="1" applyFont="1" applyFill="1" applyBorder="1" applyAlignment="1">
      <x:alignment horizontal="left" wrapText="1"/>
    </x:xf>
    <x:xf numFmtId="0" fontId="5" fillId="5" borderId="9" xfId="0" applyNumberFormat="1" applyFont="1" applyFill="1" applyBorder="1" applyAlignment="1">
      <x:alignment horizontal="left" vertical="center" wrapText="1"/>
    </x:xf>
    <x:xf numFmtId="0" fontId="5" fillId="5" borderId="10" xfId="0" applyNumberFormat="1" applyFont="1" applyFill="1" applyBorder="1" applyAlignment="1">
      <x:alignment horizontal="left" vertical="center" wrapText="1"/>
    </x:xf>
    <x:xf numFmtId="0" fontId="5" fillId="5" borderId="11" xfId="0" applyNumberFormat="1" applyFont="1" applyFill="1" applyBorder="1" applyAlignment="1">
      <x:alignment horizontal="left" vertical="center" wrapText="1"/>
    </x:xf>
    <x:xf numFmtId="0" fontId="5" fillId="5" borderId="12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13" xfId="0" applyNumberFormat="1" applyFont="1" applyFill="1" applyBorder="1" applyAlignment="1">
      <x:alignment horizontal="center"/>
    </x:xf>
    <x:xf numFmtId="0" fontId="8" fillId="6" borderId="14" xfId="0" applyNumberFormat="1" applyFont="1" applyFill="1" applyBorder="1" applyAlignment="1">
      <x:alignment horizontal="center"/>
    </x:xf>
    <x:xf numFmtId="0" fontId="8" fillId="6" borderId="13" xfId="0" applyNumberFormat="1" applyFont="1" applyFill="1" applyBorder="1" applyAlignment="1">
      <x:alignment horizontal="center" vertical="center"/>
    </x:xf>
    <x:xf numFmtId="0" fontId="8" fillId="6" borderId="1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13" xfId="0" applyNumberFormat="1" applyFont="1" applyFill="1" applyBorder="1" applyAlignment="1">
      <x:alignment horizontal="center"/>
    </x:xf>
    <x:xf numFmtId="0" fontId="9" fillId="6" borderId="14" xfId="0" applyNumberFormat="1" applyFont="1" applyFill="1" applyBorder="1" applyAlignment="1">
      <x:alignment horizontal="center"/>
    </x:xf>
    <x:xf numFmtId="0" fontId="9" fillId="6" borderId="13" xfId="0" applyNumberFormat="1" applyFont="1" applyFill="1" applyBorder="1" applyAlignment="1">
      <x:alignment horizontal="center" vertical="center"/>
    </x:xf>
    <x:xf numFmtId="0" fontId="9" fillId="6" borderId="14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5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wrapText="1"/>
    </x:xf>
    <x:xf numFmtId="0" fontId="5" fillId="6" borderId="18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horizontal="left" wrapText="1"/>
    </x:xf>
    <x:xf numFmtId="0" fontId="5" fillId="6" borderId="16" xfId="0" applyNumberFormat="1" applyFont="1" applyFill="1" applyBorder="1" applyAlignment="1">
      <x:alignment horizontal="left" wrapText="1"/>
    </x:xf>
    <x:xf numFmtId="0" fontId="5" fillId="6" borderId="17" xfId="0" applyNumberFormat="1" applyFont="1" applyFill="1" applyBorder="1" applyAlignment="1">
      <x:alignment horizontal="left" wrapText="1"/>
    </x:xf>
    <x:xf numFmtId="0" fontId="5" fillId="6" borderId="18" xfId="0" applyNumberFormat="1" applyFont="1" applyFill="1" applyBorder="1" applyAlignment="1">
      <x:alignment horizontal="left" wrapText="1"/>
    </x:xf>
    <x:xf numFmtId="0" fontId="5" fillId="6" borderId="15" xfId="0" applyNumberFormat="1" applyFont="1" applyFill="1" applyBorder="1" applyAlignment="1">
      <x:alignment horizontal="left" vertical="center" wrapText="1"/>
    </x:xf>
    <x:xf numFmtId="0" fontId="5" fillId="6" borderId="16" xfId="0" applyNumberFormat="1" applyFont="1" applyFill="1" applyBorder="1" applyAlignment="1">
      <x:alignment horizontal="left" vertical="center" wrapText="1"/>
    </x:xf>
    <x:xf numFmtId="0" fontId="5" fillId="6" borderId="17" xfId="0" applyNumberFormat="1" applyFont="1" applyFill="1" applyBorder="1" applyAlignment="1">
      <x:alignment horizontal="left" vertical="center" wrapText="1"/>
    </x:xf>
    <x:xf numFmtId="0" fontId="5" fillId="6" borderId="18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9" xfId="0" applyNumberFormat="1" applyFont="1" applyFill="1" applyBorder="1"/>
    <x:xf numFmtId="0" fontId="10" fillId="7" borderId="20" xfId="0" applyNumberFormat="1" applyFont="1" applyFill="1" applyBorder="1"/>
    <x:xf numFmtId="0" fontId="10" fillId="7" borderId="19" xfId="0" applyNumberFormat="1" applyFont="1" applyFill="1" applyBorder="1" applyAlignment="1">
      <x:alignment horizontal="center"/>
    </x:xf>
    <x:xf numFmtId="0" fontId="10" fillId="7" borderId="20" xfId="0" applyNumberFormat="1" applyFont="1" applyFill="1" applyBorder="1" applyAlignment="1">
      <x:alignment horizontal="center"/>
    </x:xf>
    <x:xf numFmtId="0" fontId="10" fillId="7" borderId="19" xfId="0" applyNumberFormat="1" applyFont="1" applyFill="1" applyBorder="1" applyAlignment="1">
      <x:alignment horizontal="center" vertical="center"/>
    </x:xf>
    <x:xf numFmtId="0" fontId="10" fillId="7" borderId="20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/>
    <x:xf numFmtId="0" fontId="11" fillId="7" borderId="19" xfId="0" applyNumberFormat="1" applyFont="1" applyFill="1" applyBorder="1"/>
    <x:xf numFmtId="0" fontId="11" fillId="7" borderId="20" xfId="0" applyNumberFormat="1" applyFont="1" applyFill="1" applyBorder="1"/>
    <x:xf numFmtId="0" fontId="11" fillId="7" borderId="19" xfId="0" applyNumberFormat="1" applyFont="1" applyFill="1" applyBorder="1" applyAlignment="1">
      <x:alignment horizontal="center"/>
    </x:xf>
    <x:xf numFmtId="0" fontId="11" fillId="7" borderId="20" xfId="0" applyNumberFormat="1" applyFont="1" applyFill="1" applyBorder="1" applyAlignment="1">
      <x:alignment horizontal="center"/>
    </x:xf>
    <x:xf numFmtId="0" fontId="11" fillId="7" borderId="19" xfId="0" applyNumberFormat="1" applyFont="1" applyFill="1" applyBorder="1" applyAlignment="1">
      <x:alignment horizontal="center" vertical="center"/>
    </x:xf>
    <x:xf numFmtId="0" fontId="11" fillId="7" borderId="2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/>
    <x:xf numFmtId="0" fontId="5" fillId="7" borderId="21" xfId="0" applyNumberFormat="1" applyFont="1" applyFill="1" applyBorder="1"/>
    <x:xf numFmtId="0" fontId="5" fillId="7" borderId="22" xfId="0" applyNumberFormat="1" applyFont="1" applyFill="1" applyBorder="1"/>
    <x:xf numFmtId="0" fontId="5" fillId="7" borderId="23" xfId="0" applyNumberFormat="1" applyFont="1" applyFill="1" applyBorder="1"/>
    <x:xf numFmtId="0" fontId="5" fillId="7" borderId="24" xfId="0" applyNumberFormat="1" applyFont="1" applyFill="1" applyBorder="1"/>
    <x:xf numFmtId="0" fontId="5" fillId="7" borderId="21" xfId="0" applyNumberFormat="1" applyFont="1" applyFill="1" applyBorder="1" applyAlignment="1">
      <x:alignment wrapText="1"/>
    </x:xf>
    <x:xf numFmtId="0" fontId="5" fillId="7" borderId="22" xfId="0" applyNumberFormat="1" applyFont="1" applyFill="1" applyBorder="1" applyAlignment="1">
      <x:alignment wrapText="1"/>
    </x:xf>
    <x:xf numFmtId="0" fontId="5" fillId="7" borderId="23" xfId="0" applyNumberFormat="1" applyFont="1" applyFill="1" applyBorder="1" applyAlignment="1">
      <x:alignment wrapText="1"/>
    </x:xf>
    <x:xf numFmtId="0" fontId="5" fillId="7" borderId="24" xfId="0" applyNumberFormat="1" applyFont="1" applyFill="1" applyBorder="1" applyAlignment="1">
      <x:alignment wrapText="1"/>
    </x:xf>
    <x:xf numFmtId="0" fontId="5" fillId="7" borderId="21" xfId="0" applyNumberFormat="1" applyFont="1" applyFill="1" applyBorder="1" applyAlignment="1">
      <x:alignment horizontal="left" wrapText="1"/>
    </x:xf>
    <x:xf numFmtId="0" fontId="5" fillId="7" borderId="22" xfId="0" applyNumberFormat="1" applyFont="1" applyFill="1" applyBorder="1" applyAlignment="1">
      <x:alignment horizontal="left" wrapText="1"/>
    </x:xf>
    <x:xf numFmtId="0" fontId="5" fillId="7" borderId="23" xfId="0" applyNumberFormat="1" applyFont="1" applyFill="1" applyBorder="1" applyAlignment="1">
      <x:alignment horizontal="left" wrapText="1"/>
    </x:xf>
    <x:xf numFmtId="0" fontId="5" fillId="7" borderId="24" xfId="0" applyNumberFormat="1" applyFont="1" applyFill="1" applyBorder="1" applyAlignment="1">
      <x:alignment horizontal="left" wrapText="1"/>
    </x:xf>
    <x:xf numFmtId="0" fontId="5" fillId="7" borderId="21" xfId="0" applyNumberFormat="1" applyFont="1" applyFill="1" applyBorder="1" applyAlignment="1">
      <x:alignment horizontal="left" vertical="center" wrapText="1"/>
    </x:xf>
    <x:xf numFmtId="0" fontId="5" fillId="7" borderId="22" xfId="0" applyNumberFormat="1" applyFont="1" applyFill="1" applyBorder="1" applyAlignment="1">
      <x:alignment horizontal="left" vertical="center" wrapText="1"/>
    </x:xf>
    <x:xf numFmtId="0" fontId="5" fillId="7" borderId="23" xfId="0" applyNumberFormat="1" applyFont="1" applyFill="1" applyBorder="1" applyAlignment="1">
      <x:alignment horizontal="left" vertical="center" wrapText="1"/>
    </x:xf>
    <x:xf numFmtId="0" fontId="5" fillId="7" borderId="24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/>
    <x:xf numFmtId="0" fontId="13" fillId="8" borderId="19" xfId="0" applyNumberFormat="1" applyFont="1" applyFill="1" applyBorder="1"/>
    <x:xf numFmtId="0" fontId="13" fillId="8" borderId="25" xfId="0" applyNumberFormat="1" applyFont="1" applyFill="1" applyBorder="1"/>
    <x:xf numFmtId="0" fontId="13" fillId="8" borderId="20" xfId="0" applyNumberFormat="1" applyFont="1" applyFill="1" applyBorder="1"/>
    <x:xf numFmtId="0" fontId="13" fillId="8" borderId="19" xfId="0" applyNumberFormat="1" applyFont="1" applyFill="1" applyBorder="1" applyAlignment="1">
      <x:alignment wrapText="1"/>
    </x:xf>
    <x:xf numFmtId="0" fontId="13" fillId="8" borderId="25" xfId="0" applyNumberFormat="1" applyFont="1" applyFill="1" applyBorder="1" applyAlignment="1">
      <x:alignment wrapText="1"/>
    </x:xf>
    <x:xf numFmtId="0" fontId="13" fillId="8" borderId="20" xfId="0" applyNumberFormat="1" applyFont="1" applyFill="1" applyBorder="1" applyAlignment="1">
      <x:alignment wrapText="1"/>
    </x:xf>
    <x:xf numFmtId="0" fontId="13" fillId="8" borderId="19" xfId="0" applyNumberFormat="1" applyFont="1" applyFill="1" applyBorder="1" applyAlignment="1">
      <x:alignment horizontal="center" wrapText="1"/>
    </x:xf>
    <x:xf numFmtId="0" fontId="13" fillId="8" borderId="25" xfId="0" applyNumberFormat="1" applyFont="1" applyFill="1" applyBorder="1" applyAlignment="1">
      <x:alignment horizontal="center" wrapText="1"/>
    </x:xf>
    <x:xf numFmtId="0" fontId="13" fillId="8" borderId="20" xfId="0" applyNumberFormat="1" applyFont="1" applyFill="1" applyBorder="1" applyAlignment="1">
      <x:alignment horizontal="center" wrapText="1"/>
    </x:xf>
    <x:xf numFmtId="0" fontId="13" fillId="8" borderId="19" xfId="0" applyNumberFormat="1" applyFont="1" applyFill="1" applyBorder="1" applyAlignment="1">
      <x:alignment horizontal="center" vertical="center" wrapText="1"/>
    </x:xf>
    <x:xf numFmtId="0" fontId="13" fillId="8" borderId="25" xfId="0" applyNumberFormat="1" applyFont="1" applyFill="1" applyBorder="1" applyAlignment="1">
      <x:alignment horizontal="center" vertical="center" wrapText="1"/>
    </x:xf>
    <x:xf numFmtId="0" fontId="13" fillId="8" borderId="2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/>
    <x:xf numFmtId="0" fontId="14" fillId="0" borderId="26" xfId="0" applyNumberFormat="1" applyFont="1" applyFill="1" applyBorder="1"/>
    <x:xf numFmtId="0" fontId="14" fillId="0" borderId="27" xfId="0" applyNumberFormat="1" applyFont="1" applyFill="1" applyBorder="1"/>
    <x:xf numFmtId="0" fontId="14" fillId="0" borderId="26" xfId="0" applyNumberFormat="1" applyFont="1" applyFill="1" applyBorder="1" applyAlignment="1">
      <x:alignment wrapText="1"/>
    </x:xf>
    <x:xf numFmtId="0" fontId="14" fillId="0" borderId="27" xfId="0" applyNumberFormat="1" applyFont="1" applyFill="1" applyBorder="1" applyAlignment="1">
      <x:alignment wrapText="1"/>
    </x:xf>
    <x:xf numFmtId="0" fontId="14" fillId="0" borderId="26" xfId="0" applyNumberFormat="1" applyFont="1" applyFill="1" applyBorder="1" applyAlignment="1">
      <x:alignment vertical="top" wrapText="1"/>
    </x:xf>
    <x:xf numFmtId="0" fontId="14" fillId="0" borderId="27" xfId="0" applyNumberFormat="1" applyFont="1" applyFill="1" applyBorder="1" applyAlignment="1">
      <x:alignment vertical="top" wrapText="1"/>
    </x:xf>
    <x:xf numFmtId="0" fontId="15" fillId="7" borderId="0" xfId="0" applyNumberFormat="1" applyFont="1" applyFill="1" applyBorder="1"/>
    <x:xf numFmtId="0" fontId="15" fillId="7" borderId="28" xfId="0" applyNumberFormat="1" applyFont="1" applyFill="1" applyBorder="1"/>
    <x:xf numFmtId="0" fontId="15" fillId="7" borderId="29" xfId="0" applyNumberFormat="1" applyFont="1" applyFill="1" applyBorder="1"/>
    <x:xf numFmtId="0" fontId="15" fillId="7" borderId="30" xfId="0" applyNumberFormat="1" applyFont="1" applyFill="1" applyBorder="1"/>
    <x:xf numFmtId="0" fontId="15" fillId="7" borderId="31" xfId="0" applyNumberFormat="1" applyFont="1" applyFill="1" applyBorder="1"/>
    <x:xf numFmtId="0" fontId="15" fillId="7" borderId="32" xfId="0" applyNumberFormat="1" applyFont="1" applyFill="1" applyBorder="1"/>
    <x:xf numFmtId="0" fontId="15" fillId="7" borderId="33" xfId="0" applyNumberFormat="1" applyFont="1" applyFill="1" applyBorder="1"/>
    <x:xf numFmtId="0" fontId="15" fillId="7" borderId="34" xfId="0" applyNumberFormat="1" applyFont="1" applyFill="1" applyBorder="1"/>
    <x:xf numFmtId="0" fontId="15" fillId="7" borderId="35" xfId="0" applyNumberFormat="1" applyFont="1" applyFill="1" applyBorder="1"/>
    <x:xf numFmtId="0" fontId="15" fillId="7" borderId="28" xfId="0" applyNumberFormat="1" applyFont="1" applyFill="1" applyBorder="1" applyAlignment="1">
      <x:alignment wrapText="1"/>
    </x:xf>
    <x:xf numFmtId="0" fontId="15" fillId="7" borderId="29" xfId="0" applyNumberFormat="1" applyFont="1" applyFill="1" applyBorder="1" applyAlignment="1">
      <x:alignment wrapText="1"/>
    </x:xf>
    <x:xf numFmtId="0" fontId="15" fillId="7" borderId="30" xfId="0" applyNumberFormat="1" applyFont="1" applyFill="1" applyBorder="1" applyAlignment="1">
      <x:alignment wrapText="1"/>
    </x:xf>
    <x:xf numFmtId="0" fontId="15" fillId="7" borderId="31" xfId="0" applyNumberFormat="1" applyFont="1" applyFill="1" applyBorder="1" applyAlignment="1">
      <x:alignment wrapText="1"/>
    </x:xf>
    <x:xf numFmtId="0" fontId="15" fillId="7" borderId="0" xfId="0" applyNumberFormat="1" applyFont="1" applyFill="1" applyBorder="1" applyAlignment="1">
      <x:alignment wrapText="1"/>
    </x:xf>
    <x:xf numFmtId="0" fontId="15" fillId="7" borderId="32" xfId="0" applyNumberFormat="1" applyFont="1" applyFill="1" applyBorder="1" applyAlignment="1">
      <x:alignment wrapText="1"/>
    </x:xf>
    <x:xf numFmtId="0" fontId="15" fillId="7" borderId="33" xfId="0" applyNumberFormat="1" applyFont="1" applyFill="1" applyBorder="1" applyAlignment="1">
      <x:alignment wrapText="1"/>
    </x:xf>
    <x:xf numFmtId="0" fontId="15" fillId="7" borderId="34" xfId="0" applyNumberFormat="1" applyFont="1" applyFill="1" applyBorder="1" applyAlignment="1">
      <x:alignment wrapText="1"/>
    </x:xf>
    <x:xf numFmtId="0" fontId="15" fillId="7" borderId="35" xfId="0" applyNumberFormat="1" applyFont="1" applyFill="1" applyBorder="1" applyAlignment="1">
      <x:alignment wrapText="1"/>
    </x:xf>
    <x:xf numFmtId="0" fontId="15" fillId="7" borderId="28" xfId="0" applyNumberFormat="1" applyFont="1" applyFill="1" applyBorder="1" applyAlignment="1">
      <x:alignment horizontal="left" wrapText="1"/>
    </x:xf>
    <x:xf numFmtId="0" fontId="15" fillId="7" borderId="29" xfId="0" applyNumberFormat="1" applyFont="1" applyFill="1" applyBorder="1" applyAlignment="1">
      <x:alignment horizontal="left" wrapText="1"/>
    </x:xf>
    <x:xf numFmtId="0" fontId="15" fillId="7" borderId="30" xfId="0" applyNumberFormat="1" applyFont="1" applyFill="1" applyBorder="1" applyAlignment="1">
      <x:alignment horizontal="left" wrapText="1"/>
    </x:xf>
    <x:xf numFmtId="0" fontId="15" fillId="7" borderId="31" xfId="0" applyNumberFormat="1" applyFont="1" applyFill="1" applyBorder="1" applyAlignment="1">
      <x:alignment horizontal="left" wrapText="1"/>
    </x:xf>
    <x:xf numFmtId="0" fontId="15" fillId="7" borderId="0" xfId="0" applyNumberFormat="1" applyFont="1" applyFill="1" applyBorder="1" applyAlignment="1">
      <x:alignment horizontal="left" wrapText="1"/>
    </x:xf>
    <x:xf numFmtId="0" fontId="15" fillId="7" borderId="32" xfId="0" applyNumberFormat="1" applyFont="1" applyFill="1" applyBorder="1" applyAlignment="1">
      <x:alignment horizontal="left" wrapText="1"/>
    </x:xf>
    <x:xf numFmtId="0" fontId="15" fillId="7" borderId="33" xfId="0" applyNumberFormat="1" applyFont="1" applyFill="1" applyBorder="1" applyAlignment="1">
      <x:alignment horizontal="left" wrapText="1"/>
    </x:xf>
    <x:xf numFmtId="0" fontId="15" fillId="7" borderId="34" xfId="0" applyNumberFormat="1" applyFont="1" applyFill="1" applyBorder="1" applyAlignment="1">
      <x:alignment horizontal="left" wrapText="1"/>
    </x:xf>
    <x:xf numFmtId="0" fontId="15" fillId="7" borderId="35" xfId="0" applyNumberFormat="1" applyFont="1" applyFill="1" applyBorder="1" applyAlignment="1">
      <x:alignment horizontal="left" wrapText="1"/>
    </x:xf>
    <x:xf numFmtId="0" fontId="15" fillId="7" borderId="28" xfId="0" applyNumberFormat="1" applyFont="1" applyFill="1" applyBorder="1" applyAlignment="1">
      <x:alignment horizontal="left" vertical="center" wrapText="1"/>
    </x:xf>
    <x:xf numFmtId="0" fontId="15" fillId="7" borderId="29" xfId="0" applyNumberFormat="1" applyFont="1" applyFill="1" applyBorder="1" applyAlignment="1">
      <x:alignment horizontal="left" vertical="center" wrapText="1"/>
    </x:xf>
    <x:xf numFmtId="0" fontId="15" fillId="7" borderId="30" xfId="0" applyNumberFormat="1" applyFont="1" applyFill="1" applyBorder="1" applyAlignment="1">
      <x:alignment horizontal="left" vertical="center" wrapText="1"/>
    </x:xf>
    <x:xf numFmtId="0" fontId="15" fillId="7" borderId="31" xfId="0" applyNumberFormat="1" applyFont="1" applyFill="1" applyBorder="1" applyAlignment="1">
      <x:alignment horizontal="left" vertical="center" wrapText="1"/>
    </x:xf>
    <x:xf numFmtId="0" fontId="15" fillId="7" borderId="0" xfId="0" applyNumberFormat="1" applyFont="1" applyFill="1" applyBorder="1" applyAlignment="1">
      <x:alignment horizontal="left" vertical="center" wrapText="1"/>
    </x:xf>
    <x:xf numFmtId="0" fontId="15" fillId="7" borderId="32" xfId="0" applyNumberFormat="1" applyFont="1" applyFill="1" applyBorder="1" applyAlignment="1">
      <x:alignment horizontal="left" vertical="center" wrapText="1"/>
    </x:xf>
    <x:xf numFmtId="0" fontId="15" fillId="7" borderId="33" xfId="0" applyNumberFormat="1" applyFont="1" applyFill="1" applyBorder="1" applyAlignment="1">
      <x:alignment horizontal="left" vertical="center" wrapText="1"/>
    </x:xf>
    <x:xf numFmtId="0" fontId="15" fillId="7" borderId="34" xfId="0" applyNumberFormat="1" applyFont="1" applyFill="1" applyBorder="1" applyAlignment="1">
      <x:alignment horizontal="left" vertical="center" wrapText="1"/>
    </x:xf>
    <x:xf numFmtId="0" fontId="15" fillId="7" borderId="35" xfId="0" applyNumberFormat="1" applyFont="1" applyFill="1" applyBorder="1" applyAlignment="1">
      <x:alignment horizontal="left" vertical="center" wrapText="1"/>
    </x:xf>
    <x:xf numFmtId="0" fontId="14" fillId="0" borderId="26" xfId="0" applyNumberFormat="1" applyFont="1" applyFill="1" applyBorder="1" applyAlignment="1">
      <x:alignment horizontal="center" vertical="top" wrapText="1"/>
    </x:xf>
    <x:xf numFmtId="0" fontId="14" fillId="0" borderId="27" xfId="0" applyNumberFormat="1" applyFont="1" applyFill="1" applyBorder="1" applyAlignment="1">
      <x:alignment horizontal="center" vertical="top" wrapText="1"/>
    </x:xf>
    <x:xf numFmtId="200" fontId="14" fillId="0" borderId="26" xfId="0" applyNumberFormat="1" applyFont="1" applyFill="1" applyBorder="1" applyAlignment="1">
      <x:alignment vertical="top" wrapText="1"/>
    </x:xf>
    <x:xf numFmtId="200" fontId="14" fillId="0" borderId="27" xfId="0" applyNumberFormat="1" applyFont="1" applyFill="1" applyBorder="1" applyAlignment="1">
      <x:alignment vertical="top" wrapText="1"/>
    </x:xf>
    <x:xf numFmtId="0" fontId="16" fillId="0" borderId="26" xfId="0" applyNumberFormat="1" applyFont="1" applyFill="1" applyBorder="1" applyAlignment="1">
      <x:alignment vertical="top" wrapText="1"/>
    </x:xf>
    <x:xf numFmtId="0" fontId="16" fillId="0" borderId="27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feb0f610848fd" /><Relationship Type="http://schemas.openxmlformats.org/officeDocument/2006/relationships/theme" Target="/xl/theme/theme1.xml" Id="R6bf15dfaa1944c79" /><Relationship Type="http://schemas.openxmlformats.org/officeDocument/2006/relationships/sharedStrings" Target="/xl/sharedStrings.xml" Id="R821e051e48c840df" /><Relationship Type="http://schemas.openxmlformats.org/officeDocument/2006/relationships/worksheet" Target="/xl/worksheets/sheet1.xml" Id="R2eb86779cf09461a" /><Relationship Type="http://schemas.openxmlformats.org/officeDocument/2006/relationships/worksheet" Target="/xl/worksheets/sheet2.xml" Id="Rd4a471103b054022" /><Relationship Type="http://schemas.openxmlformats.org/officeDocument/2006/relationships/worksheet" Target="/xl/worksheets/sheet3.xml" Id="R341ccd9447934c57" /><Relationship Type="http://schemas.openxmlformats.org/officeDocument/2006/relationships/worksheet" Target="/xl/worksheets/sheet4.xml" Id="Rbccfa94f9eb343bf" /><Relationship Type="http://schemas.openxmlformats.org/officeDocument/2006/relationships/worksheet" Target="/xl/worksheets/sheet5.xml" Id="R4c3a6cc2c31242a3" /><Relationship Type="http://schemas.openxmlformats.org/officeDocument/2006/relationships/worksheet" Target="/xl/worksheets/sheet6.xml" Id="Rd51d517ec58042f3" /><Relationship Type="http://schemas.openxmlformats.org/officeDocument/2006/relationships/worksheet" Target="/xl/worksheets/sheet7.xml" Id="Rd7dea093b7a64902" /><Relationship Type="http://schemas.openxmlformats.org/officeDocument/2006/relationships/worksheet" Target="/xl/worksheets/sheet8.xml" Id="Rd71d64149ae1492a" /></Relationships>
</file>

<file path=xl/tables/table1.xml><?xml version="1.0" encoding="utf-8"?>
<x:table xmlns:x="http://schemas.openxmlformats.org/spreadsheetml/2006/main" id="1" name="KpiDefinitionsTable" displayName="KpiDefinitionsTable" ref="A20:H24" headerRowCount="1" totalsRowCount="0" totalsRowShown="0">
  <x:autoFilter ref="A20:H24"/>
  <x:tableColumns count="8">
    <x:tableColumn id="1" name="KPI"/>
    <x:tableColumn id="2" name="定義"/>
    <x:tableColumn id="3" name="数えるもの"/>
    <x:tableColumn id="4" name="数えないもの"/>
    <x:tableColumn id="5" name="短期目標"/>
    <x:tableColumn id="6" name="中期目標"/>
    <x:tableColumn id="7" name="表示ラベル"/>
    <x:tableColumn id="8" name="備考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ComparisonTable" displayName="CandidateComparisonTable" ref="A5:P20" headerRowCount="1" totalsRowCount="0" totalsRowShown="0">
  <x:autoFilter ref="A5:P20"/>
  <x:tableColumns count="16">
    <x:tableColumn id="1" name="ID"/>
    <x:tableColumn id="2" name="手段"/>
    <x:tableColumn id="3" name="主体"/>
    <x:tableColumn id="4" name="支店hard key"/>
    <x:tableColumn id="5" name="料理hard key"/>
    <x:tableColumn id="6" name="商用権利を取得可"/>
    <x:tableColumn id="7" name="Provider fee 0"/>
    <x:tableColumn id="8" name="自社rehost"/>
    <x:tableColumn id="9" name="安定性"/>
    <x:tableColumn id="10" name="全国潜在"/>
    <x:tableColumn id="11" name="推奨状態"/>
    <x:tableColumn id="12" name="公開可能条件"/>
    <x:tableColumn id="13" name="主な失敗・制限"/>
    <x:tableColumn id="14" name="推奨用途"/>
    <x:tableColumn id="15" name="要件適合数"/>
    <x:tableColumn id="16" name="Hard g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tagramCapabilitiesTable" displayName="InstagramCapabilitiesTable" ref="A6:H12" headerRowCount="1" totalsRowCount="0" totalsRowShown="0">
  <x:autoFilter ref="A6:H12"/>
  <x:tableColumns count="8">
    <x:tableColumn id="1" name="観点"/>
    <x:tableColumn id="2" name="現行仕様（2026-08-10）"/>
    <x:tableColumn id="3" name="できる"/>
    <x:tableColumn id="4" name="できない"/>
    <x:tableColumn id="5" name="restaurant_idへの影響"/>
    <x:tableColumn id="6" name="dish_idへの影響"/>
    <x:tableColumn id="7" name="設計判断"/>
    <x:tableColumn id="8" name="一次資料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stagramOwnerFlowTable" displayName="InstagramOwnerFlowTable" ref="A15:H23" headerRowCount="1" totalsRowCount="0" totalsRowShown="0">
  <x:autoFilter ref="A15:H23"/>
  <x:tableColumns count="8">
    <x:tableColumn id="1" name="順"/>
    <x:tableColumn id="2" name="Actor"/>
    <x:tableColumn id="3" name="操作"/>
    <x:tableColumn id="4" name="hard evidence"/>
    <x:tableColumn id="5" name="system check"/>
    <x:tableColumn id="6" name="保存"/>
    <x:tableColumn id="7" name="公開"/>
    <x:tableColumn id="8" name="failure時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stagramEdgeCasesTable" displayName="InstagramEdgeCasesTable" ref="A26:H33" headerRowCount="1" totalsRowCount="0" totalsRowShown="0">
  <x:autoFilter ref="A26:H33"/>
  <x:tableColumns count="8">
    <x:tableColumn id="1" name="Case"/>
    <x:tableColumn id="2" name="危険"/>
    <x:tableColumn id="3" name="自動推定で起きる事故"/>
    <x:tableColumn id="4" name="許可scope"/>
    <x:tableColumn id="5" name="exact表示"/>
    <x:tableColumn id="6" name="必要証拠"/>
    <x:tableColumn id="7" name="AIの役割"/>
    <x:tableColumn id="8" name="判定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urrentImplementationAuditTable" displayName="CurrentImplementationAuditTable" ref="A5:H12" headerRowCount="1" totalsRowCount="0" totalsRowShown="0">
  <x:autoFilter ref="A5:H12"/>
  <x:tableColumns count="8">
    <x:tableColumn id="1" name="Severity"/>
    <x:tableColumn id="2" name="対象"/>
    <x:tableColumn id="3" name="証拠ファイル"/>
    <x:tableColumn id="4" name="現行挙動"/>
    <x:tableColumn id="5" name="致命事故"/>
    <x:tableColumn id="6" name="推奨対応"/>
    <x:tableColumn id="7" name="優先"/>
    <x:tableColumn id="8" name="検証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leaseBlockTable" displayName="ReleaseBlockTable" ref="A15:H18" headerRowCount="1" totalsRowCount="0" totalsRowShown="0">
  <x:autoFilter ref="A15:H18"/>
  <x:tableColumns count="8">
    <x:tableColumn id="1" name="Gate"/>
    <x:tableColumn id="2" name="条件"/>
    <x:tableColumn id="3" name="失敗時"/>
    <x:tableColumn id="4" name="Owner"/>
    <x:tableColumn id="5" name="対象"/>
    <x:tableColumn id="6" name="ログ"/>
    <x:tableColumn id="7" name="rollback"/>
    <x:tableColumn id="8" name="備考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ublicationGateMatrixTable" displayName="PublicationGateMatrixTable" ref="A6:I13" headerRowCount="1" totalsRowCount="0" totalsRowShown="0">
  <x:autoFilter ref="A6:I13"/>
  <x:tableColumns count="9">
    <x:tableColumn id="1" name="Case"/>
    <x:tableColumn id="2" name="権利valid"/>
    <x:tableColumn id="3" name="restaurant verified"/>
    <x:tableColumn id="4" name="dish verified"/>
    <x:tableColumn id="5" name="revision active"/>
    <x:tableColumn id="6" name="relation"/>
    <x:tableColumn id="7" name="判定（formula）"/>
    <x:tableColumn id="8" name="表示場所"/>
    <x:tableColumn id="9" name="coverage区分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ardEvidenceTable" displayName="HardEvidenceTable" ref="A16:I23" headerRowCount="1" totalsRowCount="0" totalsRowShown="0">
  <x:autoFilter ref="A16:I23"/>
  <x:tableColumns count="9">
    <x:tableColumn id="1" name="Evidence"/>
    <x:tableColumn id="2" name="支店"/>
    <x:tableColumn id="3" name="料理"/>
    <x:tableColumn id="4" name="権利"/>
    <x:tableColumn id="5" name="自動publish"/>
    <x:tableColumn id="6" name="追加確認"/>
    <x:tableColumn id="7" name="失効条件"/>
    <x:tableColumn id="8" name="audit"/>
    <x:tableColumn id="9" name="備考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abaseInvariantsTable" displayName="DatabaseInvariantsTable" ref="A26:I32" headerRowCount="1" totalsRowCount="0" totalsRowShown="0">
  <x:autoFilter ref="A26:I32"/>
  <x:tableColumns count="9">
    <x:tableColumn id="1" name="ID"/>
    <x:tableColumn id="2" name="Invariant"/>
    <x:tableColumn id="3" name="Enforcement"/>
    <x:tableColumn id="4" name="検知時"/>
    <x:tableColumn id="5" name="例外"/>
    <x:tableColumn id="6" name="理由"/>
    <x:tableColumn id="7" name="Test"/>
    <x:tableColumn id="8" name="監視"/>
    <x:tableColumn id="9" name="Own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ntityModelTable" displayName="EntityModelTable" ref="A6:G14" headerRowCount="1" totalsRowCount="0" totalsRowShown="0">
  <x:autoFilter ref="A6:G14"/>
  <x:tableColumns count="7">
    <x:tableColumn id="1" name="Entity"/>
    <x:tableColumn id="2" name="役割"/>
    <x:tableColumn id="3" name="主key/field"/>
    <x:tableColumn id="4" name="state"/>
    <x:tableColumn id="5" name="必須証拠"/>
    <x:tableColumn id="6" name="公開条件"/>
    <x:tableColumn id="7" name="現行との関係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ssetRendererTable" displayName="AssetRendererTable" ref="A17:G22" headerRowCount="1" totalsRowCount="0" totalsRowShown="0">
  <x:autoFilter ref="A17:G22"/>
  <x:tableColumns count="7">
    <x:tableColumn id="1" name="asset_kind"/>
    <x:tableColumn id="2" name="実体"/>
    <x:tableColumn id="3" name="自社storage"/>
    <x:tableColumn id="4" name="renderer"/>
    <x:tableColumn id="5" name="一覧card"/>
    <x:tableColumn id="6" name="exact coverage"/>
    <x:tableColumn id="7" name="failure fallback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igrationMappingTable" displayName="MigrationMappingTable" ref="A25:G30" headerRowCount="1" totalsRowCount="0" totalsRowShown="0">
  <x:autoFilter ref="A25:G30"/>
  <x:tableColumns count="7">
    <x:tableColumn id="1" name="現行"/>
    <x:tableColumn id="2" name="判定"/>
    <x:tableColumn id="3" name="移行先"/>
    <x:tableColumn id="4" name="relation"/>
    <x:tableColumn id="5" name="初期status"/>
    <x:tableColumn id="6" name="公開"/>
    <x:tableColumn id="7" name="作業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ocCohortTable" displayName="PocCohortTable" ref="A6:I12" headerRowCount="1" totalsRowCount="0" totalsRowShown="0">
  <x:autoFilter ref="A6:I12"/>
  <x:tableColumns count="9">
    <x:tableColumn id="1" name="Cohort"/>
    <x:tableColumn id="2" name="店舗数"/>
    <x:tableColumn id="3" name="item/post数"/>
    <x:tableColumn id="4" name="主目的"/>
    <x:tableColumn id="5" name="hard evidence"/>
    <x:tableColumn id="6" name="計測"/>
    <x:tableColumn id="7" name="合格条件"/>
    <x:tableColumn id="8" name="想定edge"/>
    <x:tableColumn id="9" name="成果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ocMetricsTable" displayName="PocMetricsTable" ref="A15:I23" headerRowCount="1" totalsRowCount="0" totalsRowShown="0">
  <x:autoFilter ref="A15:I23"/>
  <x:tableColumns count="9">
    <x:tableColumn id="1" name="Metric"/>
    <x:tableColumn id="2" name="定義"/>
    <x:tableColumn id="3" name="Gate"/>
    <x:tableColumn id="4" name="分母"/>
    <x:tableColumn id="5" name="層化"/>
    <x:tableColumn id="6" name="測定頻度"/>
    <x:tableColumn id="7" name="失敗時"/>
    <x:tableColumn id="8" name="Owner"/>
    <x:tableColumn id="9" name="備考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AdversarialGoldSetTable" displayName="AdversarialGoldSetTable" ref="A26:I34" headerRowCount="1" totalsRowCount="0" totalsRowShown="0">
  <x:autoFilter ref="A26:I34"/>
  <x:tableColumns count="9">
    <x:tableColumn id="1" name="Bucket"/>
    <x:tableColumn id="2" name="例"/>
    <x:tableColumn id="3" name="restaurant risk"/>
    <x:tableColumn id="4" name="dish risk"/>
    <x:tableColumn id="5" name="rights risk"/>
    <x:tableColumn id="6" name="freshness risk"/>
    <x:tableColumn id="7" name="期待判定"/>
    <x:tableColumn id="8" name="必要件数"/>
    <x:tableColumn id="9" name="備考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rimarySourcesTable" displayName="PrimarySourcesTable" ref="A5:F30" headerRowCount="1" totalsRowCount="0" totalsRowShown="0">
  <x:autoFilter ref="A5:F30"/>
  <x:tableColumns count="6">
    <x:tableColumn id="1" name="区分"/>
    <x:tableColumn id="2" name="資料"/>
    <x:tableColumn id="3" name="URL"/>
    <x:tableColumn id="4" name="確認日"/>
    <x:tableColumn id="5" name="支える判断"/>
    <x:tableColumn id="6" name="注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10f532965e42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95d715ccc344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b4a2a886a44cd4" /><Relationship Type="http://schemas.openxmlformats.org/officeDocument/2006/relationships/table" Target="/xl/tables/table4.xml" Id="R09df61238bfd4a38" /><Relationship Type="http://schemas.openxmlformats.org/officeDocument/2006/relationships/table" Target="/xl/tables/table5.xml" Id="Rf4b90c7990594c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471558d837e14569" /><Relationship Type="http://schemas.openxmlformats.org/officeDocument/2006/relationships/table" Target="/xl/tables/table7.xml" Id="R96805c6587dd43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9fa926704897453a" /><Relationship Type="http://schemas.openxmlformats.org/officeDocument/2006/relationships/table" Target="/xl/tables/table9.xml" Id="Rc9eb1244019c49ef" /><Relationship Type="http://schemas.openxmlformats.org/officeDocument/2006/relationships/table" Target="/xl/tables/table10.xml" Id="Rc4826e07a20d4a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1.xml" Id="Rbbc6151473004ac4" /><Relationship Type="http://schemas.openxmlformats.org/officeDocument/2006/relationships/table" Target="/xl/tables/table12.xml" Id="R66a29fce780c4b8f" /><Relationship Type="http://schemas.openxmlformats.org/officeDocument/2006/relationships/table" Target="/xl/tables/table13.xml" Id="R7a3a95ec719a4e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4.xml" Id="R362941d3385e4cba" /><Relationship Type="http://schemas.openxmlformats.org/officeDocument/2006/relationships/table" Target="/xl/tables/table15.xml" Id="R9a52a6b4a4974a01" /><Relationship Type="http://schemas.openxmlformats.org/officeDocument/2006/relationships/table" Target="/xl/tables/table16.xml" Id="Re02d10c7586d43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7.xml" Id="R2e8ad3b9a24140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6" hidden="0" customWidth="1"/>
    <x:col min="4" max="4" width="10" hidden="0" customWidth="1"/>
    <x:col min="5" max="5" width="11" hidden="0" customWidth="1"/>
    <x:col min="6" max="6" width="11" hidden="0" customWidth="1"/>
    <x:col min="7" max="7" width="13" hidden="0" customWidth="1"/>
    <x:col min="8" max="8" width="30" hidden="0" customWidth="1"/>
  </x:cols>
  <x:sheetData>
    <x:row r="1" ht="26" customHeight="1">
      <x:c r="A1" s="4" t="str">
        <x:v>料理画像（dish_media）充足戦略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3" ht="30" customHeight="1">
      <x:c r="A3" s="8" t="str">
        <x:v>調査日 2026-08-10｜最優先は誤紐付けを公開しないこと。無料=provider fee 0円であり、運用費0円ではない。詳細は各sheetとDISH_MEDIA_STRATEGY.md参照。 </x:v>
      </x:c>
      <x:c r="B3" s="8"/>
      <x:c r="C3" s="8"/>
      <x:c r="D3" s="8"/>
      <x:c r="E3" s="8"/>
      <x:c r="F3" s="8"/>
      <x:c r="G3" s="8"/>
      <x:c r="H3" s="8"/>
    </x:row>
    <x:row r="5">
      <x:c r="A5" s="15" t="str">
        <x:v>主軸候補数</x:v>
      </x:c>
      <x:c r="B5" s="16"/>
      <x:c r="C5" s="47" t="str">
        <x:v>条件付き候補数</x:v>
      </x:c>
      <x:c r="D5" s="48"/>
      <x:c r="E5" s="79" t="str">
        <x:v>No-Go候補数</x:v>
      </x:c>
      <x:c r="F5" s="80"/>
      <x:c r="G5" s="111" t="str">
        <x:v>単独hard gate充足</x:v>
      </x:c>
      <x:c r="H5" s="112"/>
    </x:row>
    <x:row r="6">
      <x:c r="A6" s="22" t="n">
        <x:f>COUNTIF('候補比較'!$K$6:$K$20,"主軸")</x:f>
        <x:v>4</x:v>
      </x:c>
      <x:c r="B6" s="23"/>
      <x:c r="C6" s="54" t="n">
        <x:f>COUNTIF('候補比較'!$K$6:$K$20,"条件付き")</x:f>
        <x:v>10</x:v>
      </x:c>
      <x:c r="D6" s="55"/>
      <x:c r="E6" s="86" t="n">
        <x:f>COUNTIF('候補比較'!$K$6:$K$20,"No-Go")</x:f>
        <x:v>1</x:v>
      </x:c>
      <x:c r="F6" s="87"/>
      <x:c r="G6" s="118" t="n">
        <x:f>COUNTIF('候補比較'!$P$6:$P$20,"Exact候補")</x:f>
        <x:v>4</x:v>
      </x:c>
      <x:c r="H6" s="119"/>
    </x:row>
    <x:row r="7">
      <x:c r="A7" s="37" t="str">
        <x:v>owner/HQ upload・署名QR UGCを中心に構成</x:v>
      </x:c>
      <x:c r="B7" s="38"/>
      <x:c r="C7" s="69" t="str">
        <x:v>Instagram oEmbedはこの層。単独でexact確定しない</x:v>
      </x:c>
      <x:c r="D7" s="70"/>
      <x:c r="E7" s="101" t="str">
        <x:v>crawl/rehost・検索結果の自動dish紐付けを禁止</x:v>
      </x:c>
      <x:c r="F7" s="102"/>
      <x:c r="G7" s="133" t="str">
        <x:v>権利・支店・料理の3条件が揃う手段だけ</x:v>
      </x:c>
      <x:c r="H7" s="134"/>
    </x:row>
    <x:row r="8">
      <x:c r="A8" s="39"/>
      <x:c r="B8" s="40"/>
      <x:c r="C8" s="71"/>
      <x:c r="D8" s="72"/>
      <x:c r="E8" s="103"/>
      <x:c r="F8" s="104"/>
      <x:c r="G8" s="135"/>
      <x:c r="H8" s="136"/>
    </x:row>
    <x:row r="10">
      <x:c r="A10" s="139" t="str">
        <x:v>意思決定（この順序で採用）</x:v>
      </x:c>
      <x:c r="B10" s="139"/>
      <x:c r="C10" s="139"/>
      <x:c r="D10" s="139"/>
      <x:c r="E10" s="139"/>
      <x:c r="F10" s="139"/>
      <x:c r="G10" s="139"/>
      <x:c r="H10" s="139"/>
    </x:row>
    <x:row r="11">
      <x:c r="A11" s="150" t="str">
        <x:v>順</x:v>
      </x:c>
      <x:c r="B11" s="151" t="str">
        <x:v>決定</x:v>
      </x:c>
      <x:c r="C11" s="151" t="str">
        <x:v>内容</x:v>
      </x:c>
      <x:c r="D11" s="151" t="str">
        <x:v>優先</x:v>
      </x:c>
      <x:c r="E11" s="151" t="str">
        <x:v>目的1</x:v>
      </x:c>
      <x:c r="F11" s="151" t="str">
        <x:v>目的2</x:v>
      </x:c>
      <x:c r="G11" s="151" t="str">
        <x:v>位置付け</x:v>
      </x:c>
      <x:c r="H11" s="152" t="str">
        <x:v>安全条件</x:v>
      </x:c>
    </x:row>
    <x:row r="12" ht="44" customHeight="1">
      <x:c r="A12" s="158" t="n">
        <x:v>1</x:v>
      </x:c>
      <x:c r="B12" s="158" t="str">
        <x:v>現行事故経路を止める</x:v>
      </x:c>
      <x:c r="C12" s="158" t="str">
        <x:v>Google place/contextual photoを料理カテゴリへ保存・公開するbulk importを停止し、既存行を監査する</x:v>
      </x:c>
      <x:c r="D12" s="158" t="str">
        <x:v>P0</x:v>
      </x:c>
      <x:c r="E12" s="158" t="str">
        <x:v>精度</x:v>
      </x:c>
      <x:c r="F12" s="158" t="str">
        <x:v>規約</x:v>
      </x:c>
      <x:c r="G12" s="158" t="str">
        <x:v>今すぐ</x:v>
      </x:c>
      <x:c r="H12" s="158" t="str">
        <x:v>1件の他店・他料理誤表示でもrelease block</x:v>
      </x:c>
    </x:row>
    <x:row r="13" ht="44" customHeight="1">
      <x:c r="A13" s="159" t="n">
        <x:v>2</x:v>
      </x:c>
      <x:c r="B13" s="159" t="str">
        <x:v>exact itemを新設</x:v>
      </x:c>
      <x:c r="C13" s="159" t="str">
        <x:v>現行dishesはrestaurant×category。menu_itemsとrevisionを新設し、category画像とexact dish画像を分離する</x:v>
      </x:c>
      <x:c r="D13" s="159" t="str">
        <x:v>P1</x:v>
      </x:c>
      <x:c r="E13" s="159" t="str">
        <x:v>精度</x:v>
      </x:c>
      <x:c r="F13" s="159" t="str">
        <x:v>モデル</x:v>
      </x:c>
      <x:c r="G13" s="159" t="str">
        <x:v>最優先</x:v>
      </x:c>
      <x:c r="H13" s="159" t="str">
        <x:v>現行dish_idだけではexact紐付け不能</x:v>
      </x:c>
    </x:row>
    <x:row r="14" ht="44" customHeight="1">
      <x:c r="A14" s="159" t="n">
        <x:v>3</x:v>
      </x:c>
      <x:c r="B14" s="159" t="str">
        <x:v>owner/HQ upload</x:v>
      </x:c>
      <x:c r="C14" s="159" t="str">
        <x:v>支店とmenu itemをsessionで固定し、商用表示・加工・再配信許諾と原本証跡を取得する</x:v>
      </x:c>
      <x:c r="D14" s="159" t="str">
        <x:v>P1</x:v>
      </x:c>
      <x:c r="E14" s="159" t="str">
        <x:v>権利</x:v>
      </x:c>
      <x:c r="F14" s="159" t="str">
        <x:v>coverage</x:v>
      </x:c>
      <x:c r="G14" s="159" t="str">
        <x:v>主軸</x:v>
      </x:c>
      <x:c r="H14" s="159" t="str">
        <x:v>最も確実で安定</x:v>
      </x:c>
    </x:row>
    <x:row r="15" ht="44" customHeight="1">
      <x:c r="A15" s="159" t="n">
        <x:v>4</x:v>
      </x:c>
      <x:c r="B15" s="159" t="str">
        <x:v>POS・署名QR UGC</x:v>
      </x:c>
      <x:c r="C15" s="159" t="str">
        <x:v>Square等のstable item ID、または署名済みrestaurant/item/revisionから投稿を開始する</x:v>
      </x:c>
      <x:c r="D15" s="159" t="str">
        <x:v>P2</x:v>
      </x:c>
      <x:c r="E15" s="159" t="str">
        <x:v>精度</x:v>
      </x:c>
      <x:c r="F15" s="159" t="str">
        <x:v>無料</x:v>
      </x:c>
      <x:c r="G15" s="159" t="str">
        <x:v>拡張</x:v>
      </x:c>
      <x:c r="H15" s="159" t="str">
        <x:v>caption/OCR推定に依存しない</x:v>
      </x:c>
    </x:row>
    <x:row r="16" ht="44" customHeight="1">
      <x:c r="A16" s="159" t="n">
        <x:v>5</x:v>
      </x:c>
      <x:c r="B16" s="159" t="str">
        <x:v>Instagram oEmbed</x:v>
      </x:c>
      <x:c r="C16" s="159" t="str">
        <x:v>ownerが支店とexact itemを選択した既知URLだけをexternal embedとして詳細画面へ表示する</x:v>
      </x:c>
      <x:c r="D16" s="159" t="str">
        <x:v>P1</x:v>
      </x:c>
      <x:c r="E16" s="159" t="str">
        <x:v>補助</x:v>
      </x:c>
      <x:c r="F16" s="159" t="str">
        <x:v>無料</x:v>
      </x:c>
      <x:c r="G16" s="159" t="str">
        <x:v>条件付き</x:v>
      </x:c>
      <x:c r="H16" s="159" t="str">
        <x:v>binary取得・rehost・自動紐付けは禁止</x:v>
      </x:c>
    </x:row>
    <x:row r="17" ht="44" customHeight="1">
      <x:c r="A17" s="159" t="n">
        <x:v>6</x:v>
      </x:c>
      <x:c r="B17" s="159" t="str">
        <x:v>placeholder</x:v>
      </x:c>
      <x:c r="C17" s="159" t="str">
        <x:v>category画像でnonblank UIを100%にするが、実画像coverageに数えず『イメージ』と表示する</x:v>
      </x:c>
      <x:c r="D17" s="159" t="str">
        <x:v>P1</x:v>
      </x:c>
      <x:c r="E17" s="159" t="str">
        <x:v>UX</x:v>
      </x:c>
      <x:c r="F17" s="159" t="str">
        <x:v>安全</x:v>
      </x:c>
      <x:c r="G17" s="159" t="str">
        <x:v>fallback</x:v>
      </x:c>
      <x:c r="H17" s="159" t="str">
        <x:v>不明なら出さない精度を守る</x:v>
      </x:c>
    </x:row>
    <x:row r="19">
      <x:c r="A19" s="139" t="str">
        <x:v>KPIは混ぜない</x:v>
      </x:c>
      <x:c r="B19" s="139"/>
      <x:c r="C19" s="139"/>
      <x:c r="D19" s="139"/>
      <x:c r="E19" s="139"/>
      <x:c r="F19" s="139"/>
      <x:c r="G19" s="139"/>
      <x:c r="H19" s="139"/>
    </x:row>
    <x:row r="20">
      <x:c r="A20" s="150" t="str">
        <x:v>KPI</x:v>
      </x:c>
      <x:c r="B20" s="151" t="str">
        <x:v>定義</x:v>
      </x:c>
      <x:c r="C20" s="151" t="str">
        <x:v>数えるもの</x:v>
      </x:c>
      <x:c r="D20" s="151" t="str">
        <x:v>数えないもの</x:v>
      </x:c>
      <x:c r="E20" s="151" t="str">
        <x:v>短期目標</x:v>
      </x:c>
      <x:c r="F20" s="151" t="str">
        <x:v>中期目標</x:v>
      </x:c>
      <x:c r="G20" s="151" t="str">
        <x:v>表示ラベル</x:v>
      </x:c>
      <x:c r="H20" s="152" t="str">
        <x:v>備考</x:v>
      </x:c>
    </x:row>
    <x:row r="21" ht="42" customHeight="1">
      <x:c r="A21" s="158" t="str">
        <x:v>exact_owned_coverage</x:v>
      </x:c>
      <x:c r="B21" s="158" t="str">
        <x:v>権利・支店・exact itemがverifiedの自社配信画像</x:v>
      </x:c>
      <x:c r="C21" s="158" t="str">
        <x:v>owner/HQ、契約済UGC、許諾済POS原本</x:v>
      </x:c>
      <x:c r="D21" s="158" t="str">
        <x:v>embed、category、placeholder</x:v>
      </x:c>
      <x:c r="E21" s="158" t="str">
        <x:v>計測開始</x:v>
      </x:c>
      <x:c r="F21" s="158" t="str">
        <x:v>継続増加</x:v>
      </x:c>
      <x:c r="G21" s="158" t="str">
        <x:v>料理写真</x:v>
      </x:c>
      <x:c r="H21" s="158" t="str">
        <x:v>最重要</x:v>
      </x:c>
    </x:row>
    <x:row r="22" ht="42" customHeight="1">
      <x:c r="A22" s="159" t="str">
        <x:v>exact_embed_coverage</x:v>
      </x:c>
      <x:c r="B22" s="159" t="str">
        <x:v>owner確認済みexact itemの有効な外部embed</x:v>
      </x:c>
      <x:c r="C22" s="159" t="str">
        <x:v>Instagram等の有効widget</x:v>
      </x:c>
      <x:c r="D22" s="159" t="str">
        <x:v>binary、無確認URL</x:v>
      </x:c>
      <x:c r="E22" s="159" t="str">
        <x:v>POC</x:v>
      </x:c>
      <x:c r="F22" s="159" t="str">
        <x:v>補助拡張</x:v>
      </x:c>
      <x:c r="G22" s="159" t="str">
        <x:v>Instagram投稿</x:v>
      </x:c>
      <x:c r="H22" s="159" t="str">
        <x:v>provider依存</x:v>
      </x:c>
    </x:row>
    <x:row r="23" ht="42" customHeight="1">
      <x:c r="A23" s="159" t="str">
        <x:v>restaurant_category_coverage</x:v>
      </x:c>
      <x:c r="B23" s="159" t="str">
        <x:v>店舗はverified、料理はcategoryまで</x:v>
      </x:c>
      <x:c r="C23" s="159" t="str">
        <x:v>既存UGC等</x:v>
      </x:c>
      <x:c r="D23" s="159" t="str">
        <x:v>exact itemと断定</x:v>
      </x:c>
      <x:c r="E23" s="159" t="str">
        <x:v>現状把握</x:v>
      </x:c>
      <x:c r="F23" s="159" t="str">
        <x:v>縮小</x:v>
      </x:c>
      <x:c r="G23" s="159" t="str">
        <x:v>この店舗のカテゴリ投稿</x:v>
      </x:c>
      <x:c r="H23" s="159" t="str">
        <x:v>exactとは別</x:v>
      </x:c>
    </x:row>
    <x:row r="24" ht="42" customHeight="1">
      <x:c r="A24" s="159" t="str">
        <x:v>nonblank_display_coverage</x:v>
      </x:c>
      <x:c r="B24" s="159" t="str">
        <x:v>placeholderを含む非空表示</x:v>
      </x:c>
      <x:c r="C24" s="159" t="str">
        <x:v>上記すべて+placeholder</x:v>
      </x:c>
      <x:c r="D24" s="159" t="str">
        <x:v>実画像coverageと混同</x:v>
      </x:c>
      <x:c r="E24" s="159" t="str">
        <x:v>100%</x:v>
      </x:c>
      <x:c r="F24" s="159" t="str">
        <x:v>100%</x:v>
      </x:c>
      <x:c r="G24" s="159" t="str">
        <x:v>イメージ</x:v>
      </x:c>
      <x:c r="H24" s="159" t="str">
        <x:v>UX指標</x:v>
      </x:c>
    </x:row>
    <x:row r="26">
      <x:c r="A26" s="139" t="str">
        <x:v>一文回答</x:v>
      </x:c>
      <x:c r="B26" s="139"/>
      <x:c r="C26" s="139"/>
      <x:c r="D26" s="139"/>
      <x:c r="E26" s="139"/>
      <x:c r="F26" s="139"/>
      <x:c r="G26" s="139"/>
      <x:c r="H26" s="139"/>
    </x:row>
    <x:row r="27">
      <x:c r="A27" s="187" t="str">
        <x:v>Instagram公式oEmbedは最良の『補助表示』だが、最良の『料理画像取得・紐付け手段』ではない。全国の実画像を無料かつ確実に埋める単一sourceは存在しない。owner/HQ upload、POSのstable item ID、署名付き料理QR UGCを組み合わせ、hard evidenceがない画像は出さない。</x:v>
      </x:c>
      <x:c r="B27" s="188"/>
      <x:c r="C27" s="188"/>
      <x:c r="D27" s="188"/>
      <x:c r="E27" s="188"/>
      <x:c r="F27" s="188"/>
      <x:c r="G27" s="188"/>
      <x:c r="H27" s="189"/>
    </x:row>
    <x:row r="28">
      <x:c r="A28" s="190"/>
      <x:c r="B28" s="191"/>
      <x:c r="C28" s="191"/>
      <x:c r="D28" s="191"/>
      <x:c r="E28" s="191"/>
      <x:c r="F28" s="191"/>
      <x:c r="G28" s="191"/>
      <x:c r="H28" s="192"/>
    </x:row>
    <x:row r="29">
      <x:c r="A29" s="193"/>
      <x:c r="B29" s="194"/>
      <x:c r="C29" s="194"/>
      <x:c r="D29" s="194"/>
      <x:c r="E29" s="194"/>
      <x:c r="F29" s="194"/>
      <x:c r="G29" s="194"/>
      <x:c r="H29" s="195"/>
    </x:row>
  </x:sheetData>
  <x:mergeCells>
    <x:mergeCell ref="A1:H2"/>
    <x:mergeCell ref="A3:H3"/>
    <x:mergeCell ref="A5:B5"/>
    <x:mergeCell ref="A6:B6"/>
    <x:mergeCell ref="A7:B8"/>
    <x:mergeCell ref="C5:D5"/>
    <x:mergeCell ref="C6:D6"/>
    <x:mergeCell ref="C7:D8"/>
    <x:mergeCell ref="E5:F5"/>
    <x:mergeCell ref="E6:F6"/>
    <x:mergeCell ref="E7:F8"/>
    <x:mergeCell ref="G5:H5"/>
    <x:mergeCell ref="G6:H6"/>
    <x:mergeCell ref="G7:H8"/>
    <x:mergeCell ref="A10:H10"/>
    <x:mergeCell ref="A19:H19"/>
    <x:mergeCell ref="A26:H26"/>
    <x:mergeCell ref="A27:H29"/>
  </x:mergeCells>
  <x:pageMargins left="0.7" right="0.7" top="0.75" bottom="0.75" header="0.3" footer="0.3"/>
  <x:tableParts count="1">
    <x:tablePart xmlns:r="http://schemas.openxmlformats.org/officeDocument/2006/relationships" r:id="Rc010f532965e42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5" hidden="0" customWidth="1"/>
    <x:col min="3" max="3" width="14" hidden="0" customWidth="1"/>
    <x:col min="4" max="4" width="12" hidden="0" customWidth="1"/>
    <x:col min="5" max="5" width="12" hidden="0" customWidth="1"/>
    <x:col min="6" max="6" width="15" hidden="0" customWidth="1"/>
    <x:col min="7" max="7" width="12" hidden="0" customWidth="1"/>
    <x:col min="8" max="8" width="12" hidden="0" customWidth="1"/>
    <x:col min="9" max="9" width="10" hidden="0" customWidth="1"/>
    <x:col min="10" max="10" width="11" hidden="0" customWidth="1"/>
    <x:col min="11" max="11" width="13" hidden="0" customWidth="1"/>
    <x:col min="12" max="12" width="35" hidden="0" customWidth="1"/>
    <x:col min="13" max="13" width="42" hidden="0" customWidth="1"/>
    <x:col min="14" max="14" width="29" hidden="0" customWidth="1"/>
    <x:col min="15" max="15" width="11" hidden="0" customWidth="1"/>
    <x:col min="16" max="16" width="20" hidden="0" customWidth="1"/>
  </x:cols>
  <x:sheetData>
    <x:row r="1" ht="26" customHeight="1">
      <x:c r="A1" s="4" t="str">
        <x:v>料理画像取得候補の比較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30" customHeight="1">
      <x:c r="A3" s="8" t="str">
        <x:v>○は手段単独または明示flowでhard evidenceを作れる、△は追加のowner/契約確認が必要、×は不可。点数は参考であり、公開判断はP列のhard gateを優先する。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5">
      <x:c r="A5" s="150" t="str">
        <x:v>ID</x:v>
      </x:c>
      <x:c r="B5" s="151" t="str">
        <x:v>手段</x:v>
      </x:c>
      <x:c r="C5" s="151" t="str">
        <x:v>主体</x:v>
      </x:c>
      <x:c r="D5" s="151" t="str">
        <x:v>支店hard key</x:v>
      </x:c>
      <x:c r="E5" s="151" t="str">
        <x:v>料理hard key</x:v>
      </x:c>
      <x:c r="F5" s="151" t="str">
        <x:v>商用権利を取得可</x:v>
      </x:c>
      <x:c r="G5" s="151" t="str">
        <x:v>Provider fee 0</x:v>
      </x:c>
      <x:c r="H5" s="151" t="str">
        <x:v>自社rehost</x:v>
      </x:c>
      <x:c r="I5" s="151" t="str">
        <x:v>安定性</x:v>
      </x:c>
      <x:c r="J5" s="151" t="str">
        <x:v>全国潜在</x:v>
      </x:c>
      <x:c r="K5" s="151" t="str">
        <x:v>推奨状態</x:v>
      </x:c>
      <x:c r="L5" s="151" t="str">
        <x:v>公開可能条件</x:v>
      </x:c>
      <x:c r="M5" s="151" t="str">
        <x:v>主な失敗・制限</x:v>
      </x:c>
      <x:c r="N5" s="151" t="str">
        <x:v>推奨用途</x:v>
      </x:c>
      <x:c r="O5" s="151" t="str">
        <x:v>要件適合数</x:v>
      </x:c>
      <x:c r="P5" s="152" t="str">
        <x:v>Hard gate</x:v>
      </x:c>
    </x:row>
    <x:row r="6" ht="54" customHeight="1">
      <x:c r="A6" s="196" t="n">
        <x:v>1</x:v>
      </x:c>
      <x:c r="B6" s="158" t="str">
        <x:v>owner直接upload</x:v>
      </x:c>
      <x:c r="C6" s="158" t="str">
        <x:v>店舗</x:v>
      </x:c>
      <x:c r="D6" s="196" t="str">
        <x:v>○</x:v>
      </x:c>
      <x:c r="E6" s="196" t="str">
        <x:v>○</x:v>
      </x:c>
      <x:c r="F6" s="196" t="str">
        <x:v>○</x:v>
      </x:c>
      <x:c r="G6" s="196" t="str">
        <x:v>○</x:v>
      </x:c>
      <x:c r="H6" s="196" t="str">
        <x:v>○</x:v>
      </x:c>
      <x:c r="I6" s="196" t="str">
        <x:v>○</x:v>
      </x:c>
      <x:c r="J6" s="196" t="str">
        <x:v>△</x:v>
      </x:c>
      <x:c r="K6" s="196" t="str">
        <x:v>主軸</x:v>
      </x:c>
      <x:c r="L6" s="158" t="str">
        <x:v>verified owner sessionで支店/item固定、権利同意、原本証跡</x:v>
      </x:c>
      <x:c r="M6" s="158" t="str">
        <x:v>owner参加率、登録工数、第三者撮影者の権利</x:v>
      </x:c>
      <x:c r="N6" s="158" t="str">
        <x:v>exact owned imageのdefault</x:v>
      </x:c>
      <x:c r="O6" s="196" t="n">
        <x:f>COUNTIF(D6:J6,"○")</x:f>
        <x:v>6</x:v>
      </x:c>
      <x:c r="P6" s="196" t="str">
        <x:f>IF(AND(D6="○",E6="○",F6="○"),"Exact候補","要追加hard evidence")</x:f>
        <x:v>Exact候補</x:v>
      </x:c>
    </x:row>
    <x:row r="7" ht="54" customHeight="1">
      <x:c r="A7" s="197" t="n">
        <x:v>2</x:v>
      </x:c>
      <x:c r="B7" s="159" t="str">
        <x:v>chain本部feed</x:v>
      </x:c>
      <x:c r="C7" s="159" t="str">
        <x:v>本部</x:v>
      </x:c>
      <x:c r="D7" s="197" t="str">
        <x:v>○</x:v>
      </x:c>
      <x:c r="E7" s="197" t="str">
        <x:v>○</x:v>
      </x:c>
      <x:c r="F7" s="197" t="str">
        <x:v>○</x:v>
      </x:c>
      <x:c r="G7" s="197" t="str">
        <x:v>△</x:v>
      </x:c>
      <x:c r="H7" s="197" t="str">
        <x:v>○</x:v>
      </x:c>
      <x:c r="I7" s="197" t="str">
        <x:v>○</x:v>
      </x:c>
      <x:c r="J7" s="197" t="str">
        <x:v>○</x:v>
      </x:c>
      <x:c r="K7" s="197" t="str">
        <x:v>主軸</x:v>
      </x:c>
      <x:c r="L7" s="159" t="str">
        <x:v>location code mapping、支店scope、契約、menu revision</x:v>
      </x:c>
      <x:c r="M7" s="159" t="str">
        <x:v>共通画像を全店実写と誤表示、支店限定menu</x:v>
      </x:c>
      <x:c r="N7" s="159" t="str">
        <x:v>全国coverage accelerator</x:v>
      </x:c>
      <x:c r="O7" s="197" t="n">
        <x:f>COUNTIF(D7:J7,"○")</x:f>
        <x:v>6</x:v>
      </x:c>
      <x:c r="P7" s="197" t="str">
        <x:f>IF(AND(D7="○",E7="○",F7="○"),"Exact候補","要追加hard evidence")</x:f>
        <x:v>Exact候補</x:v>
      </x:c>
    </x:row>
    <x:row r="8" ht="54" customHeight="1">
      <x:c r="A8" s="197" t="n">
        <x:v>3</x:v>
      </x:c>
      <x:c r="B8" s="159" t="str">
        <x:v>Square Catalog OAuth</x:v>
      </x:c>
      <x:c r="C8" s="159" t="str">
        <x:v>POS</x:v>
      </x:c>
      <x:c r="D8" s="197" t="str">
        <x:v>○</x:v>
      </x:c>
      <x:c r="E8" s="197" t="str">
        <x:v>○</x:v>
      </x:c>
      <x:c r="F8" s="197" t="str">
        <x:v>△</x:v>
      </x:c>
      <x:c r="G8" s="197" t="str">
        <x:v>○</x:v>
      </x:c>
      <x:c r="H8" s="197" t="str">
        <x:v>△</x:v>
      </x:c>
      <x:c r="I8" s="197" t="str">
        <x:v>○</x:v>
      </x:c>
      <x:c r="J8" s="197" t="str">
        <x:v>△</x:v>
      </x:c>
      <x:c r="K8" s="197" t="str">
        <x:v>条件付き</x:v>
      </x:c>
      <x:c r="L8" s="159" t="str">
        <x:v>seller/location/item mapping + owner確認 + 保存/利用権確認</x:v>
      </x:c>
      <x:c r="M8" s="159" t="str">
        <x:v>catalog itemのlocation適用、画像権利、provider条件</x:v>
      </x:c>
      <x:c r="N8" s="159" t="str">
        <x:v>stable item IDで候補・同期</x:v>
      </x:c>
      <x:c r="O8" s="197" t="n">
        <x:f>COUNTIF(D8:J8,"○")</x:f>
        <x:v>4</x:v>
      </x:c>
      <x:c r="P8" s="197" t="str">
        <x:f>IF(AND(D8="○",E8="○",F8="○"),"Exact候補","要追加hard evidence")</x:f>
        <x:v>要追加hard evidence</x:v>
      </x:c>
    </x:row>
    <x:row r="9" ht="54" customHeight="1">
      <x:c r="A9" s="197" t="n">
        <x:v>4</x:v>
      </x:c>
      <x:c r="B9" s="159" t="str">
        <x:v>Google Business Profile FoodMenus/Media</x:v>
      </x:c>
      <x:c r="C9" s="159" t="str">
        <x:v>owner API</x:v>
      </x:c>
      <x:c r="D9" s="197" t="str">
        <x:v>○</x:v>
      </x:c>
      <x:c r="E9" s="197" t="str">
        <x:v>○</x:v>
      </x:c>
      <x:c r="F9" s="197" t="str">
        <x:v>△</x:v>
      </x:c>
      <x:c r="G9" s="197" t="str">
        <x:v>○</x:v>
      </x:c>
      <x:c r="H9" s="197" t="str">
        <x:v>×</x:v>
      </x:c>
      <x:c r="I9" s="197" t="str">
        <x:v>△</x:v>
      </x:c>
      <x:c r="J9" s="197" t="str">
        <x:v>△</x:v>
      </x:c>
      <x:c r="K9" s="197" t="str">
        <x:v>条件付き</x:v>
      </x:c>
      <x:c r="L9" s="159" t="str">
        <x:v>managed location OAuth、規約準拠live viewまたは原本別取得</x:v>
      </x:c>
      <x:c r="M9" s="159" t="str">
        <x:v>cache/storage/aggregation制限、listing管理用途</x:v>
      </x:c>
      <x:c r="N9" s="159" t="str">
        <x:v>identity/item検証・live補助</x:v>
      </x:c>
      <x:c r="O9" s="197" t="n">
        <x:f>COUNTIF(D9:J9,"○")</x:f>
        <x:v>3</x:v>
      </x:c>
      <x:c r="P9" s="197" t="str">
        <x:f>IF(AND(D9="○",E9="○",F9="○"),"Exact候補","要追加hard evidence")</x:f>
        <x:v>要追加hard evidence</x:v>
      </x:c>
    </x:row>
    <x:row r="10" ht="54" customHeight="1">
      <x:c r="A10" s="197" t="n">
        <x:v>5</x:v>
      </x:c>
      <x:c r="B10" s="159" t="str">
        <x:v>Instagram URL + official oEmbed</x:v>
      </x:c>
      <x:c r="C10" s="159" t="str">
        <x:v>social</x:v>
      </x:c>
      <x:c r="D10" s="197" t="str">
        <x:v>△</x:v>
      </x:c>
      <x:c r="E10" s="197" t="str">
        <x:v>△</x:v>
      </x:c>
      <x:c r="F10" s="197" t="str">
        <x:v>△</x:v>
      </x:c>
      <x:c r="G10" s="197" t="str">
        <x:v>○</x:v>
      </x:c>
      <x:c r="H10" s="197" t="str">
        <x:v>×</x:v>
      </x:c>
      <x:c r="I10" s="197" t="str">
        <x:v>×</x:v>
      </x:c>
      <x:c r="J10" s="197" t="str">
        <x:v>△</x:v>
      </x:c>
      <x:c r="K10" s="197" t="str">
        <x:v>条件付き</x:v>
      </x:c>
      <x:c r="L10" s="159" t="str">
        <x:v>ownerが単一支店+exact item選択、external embed、availability監視</x:v>
      </x:c>
      <x:c r="M10" s="159" t="str">
        <x:v>URL探索不可、thumbnailなし、削除/private、権利移転なし</x:v>
      </x:c>
      <x:c r="N10" s="159" t="str">
        <x:v>詳細画面の外部embed</x:v>
      </x:c>
      <x:c r="O10" s="197" t="n">
        <x:f>COUNTIF(D10:J10,"○")</x:f>
        <x:v>1</x:v>
      </x:c>
      <x:c r="P10" s="197" t="str">
        <x:f>IF(AND(D10="○",E10="○",F10="○"),"Exact候補","要追加hard evidence")</x:f>
        <x:v>要追加hard evidence</x:v>
      </x:c>
    </x:row>
    <x:row r="11" ht="54" customHeight="1">
      <x:c r="A11" s="197" t="n">
        <x:v>6</x:v>
      </x:c>
      <x:c r="B11" s="159" t="str">
        <x:v>Instagram professional OAuth + oEmbed</x:v>
      </x:c>
      <x:c r="C11" s="159" t="str">
        <x:v>social</x:v>
      </x:c>
      <x:c r="D11" s="197" t="str">
        <x:v>△</x:v>
      </x:c>
      <x:c r="E11" s="197" t="str">
        <x:v>△</x:v>
      </x:c>
      <x:c r="F11" s="197" t="str">
        <x:v>△</x:v>
      </x:c>
      <x:c r="G11" s="197" t="str">
        <x:v>○</x:v>
      </x:c>
      <x:c r="H11" s="197" t="str">
        <x:v>×</x:v>
      </x:c>
      <x:c r="I11" s="197" t="str">
        <x:v>×</x:v>
      </x:c>
      <x:c r="J11" s="197" t="str">
        <x:v>△</x:v>
      </x:c>
      <x:c r="K11" s="197" t="str">
        <x:v>条件付き</x:v>
      </x:c>
      <x:c r="L11" s="159" t="str">
        <x:v>account owner OAuth + ownerが支店/item選択、App Review</x:v>
      </x:c>
      <x:c r="M11" s="159" t="str">
        <x:v>account≠支店、投稿≠料理、carousel/repost</x:v>
      </x:c>
      <x:c r="N11" s="159" t="str">
        <x:v>owner投稿の発見補助</x:v>
      </x:c>
      <x:c r="O11" s="197" t="n">
        <x:f>COUNTIF(D11:J11,"○")</x:f>
        <x:v>1</x:v>
      </x:c>
      <x:c r="P11" s="197" t="str">
        <x:f>IF(AND(D11="○",E11="○",F11="○"),"Exact候補","要追加hard evidence")</x:f>
        <x:v>要追加hard evidence</x:v>
      </x:c>
    </x:row>
    <x:row r="12" ht="54" customHeight="1">
      <x:c r="A12" s="197" t="n">
        <x:v>7</x:v>
      </x:c>
      <x:c r="B12" s="159" t="str">
        <x:v>署名付き料理QR UGC</x:v>
      </x:c>
      <x:c r="C12" s="159" t="str">
        <x:v>自社UGC</x:v>
      </x:c>
      <x:c r="D12" s="197" t="str">
        <x:v>○</x:v>
      </x:c>
      <x:c r="E12" s="197" t="str">
        <x:v>○</x:v>
      </x:c>
      <x:c r="F12" s="197" t="str">
        <x:v>○</x:v>
      </x:c>
      <x:c r="G12" s="197" t="str">
        <x:v>○</x:v>
      </x:c>
      <x:c r="H12" s="197" t="str">
        <x:v>○</x:v>
      </x:c>
      <x:c r="I12" s="197" t="str">
        <x:v>△</x:v>
      </x:c>
      <x:c r="J12" s="197" t="str">
        <x:v>○</x:v>
      </x:c>
      <x:c r="K12" s="197" t="str">
        <x:v>主軸</x:v>
      </x:c>
      <x:c r="L12" s="159" t="str">
        <x:v>server署名restaurant/item/revision、投稿規約、proof、moderation</x:v>
      </x:c>
      <x:c r="M12" s="159" t="str">
        <x:v>QR転載、いたずら、低品質、人物/privacy</x:v>
      </x:c>
      <x:c r="N12" s="159" t="str">
        <x:v>long-tail exact owned image</x:v>
      </x:c>
      <x:c r="O12" s="197" t="n">
        <x:f>COUNTIF(D12:J12,"○")</x:f>
        <x:v>6</x:v>
      </x:c>
      <x:c r="P12" s="197" t="str">
        <x:f>IF(AND(D12="○",E12="○",F12="○"),"Exact候補","要追加hard evidence")</x:f>
        <x:v>Exact候補</x:v>
      </x:c>
    </x:row>
    <x:row r="13" ht="54" customHeight="1">
      <x:c r="A13" s="197" t="n">
        <x:v>8</x:v>
      </x:c>
      <x:c r="B13" s="159" t="str">
        <x:v>通常のapp UGC</x:v>
      </x:c>
      <x:c r="C13" s="159" t="str">
        <x:v>自社UGC</x:v>
      </x:c>
      <x:c r="D13" s="197" t="str">
        <x:v>○</x:v>
      </x:c>
      <x:c r="E13" s="197" t="str">
        <x:v>△</x:v>
      </x:c>
      <x:c r="F13" s="197" t="str">
        <x:v>○</x:v>
      </x:c>
      <x:c r="G13" s="197" t="str">
        <x:v>○</x:v>
      </x:c>
      <x:c r="H13" s="197" t="str">
        <x:v>○</x:v>
      </x:c>
      <x:c r="I13" s="197" t="str">
        <x:v>△</x:v>
      </x:c>
      <x:c r="J13" s="197" t="str">
        <x:v>○</x:v>
      </x:c>
      <x:c r="K13" s="197" t="str">
        <x:v>条件付き</x:v>
      </x:c>
      <x:c r="L13" s="159" t="str">
        <x:v>restaurant選択固定、item追加確認。未確認はcategory表示</x:v>
      </x:c>
      <x:c r="M13" s="159" t="str">
        <x:v>利用者の店舗/item誤選択、現行はcategoryまで</x:v>
      </x:c>
      <x:c r="N13" s="159" t="str">
        <x:v>restaurant-category補助</x:v>
      </x:c>
      <x:c r="O13" s="197" t="n">
        <x:f>COUNTIF(D13:J13,"○")</x:f>
        <x:v>5</x:v>
      </x:c>
      <x:c r="P13" s="197" t="str">
        <x:f>IF(AND(D13="○",E13="○",F13="○"),"Exact候補","要追加hard evidence")</x:f>
        <x:v>要追加hard evidence</x:v>
      </x:c>
    </x:row>
    <x:row r="14" ht="54" customHeight="1">
      <x:c r="A14" s="197" t="n">
        <x:v>9</x:v>
      </x:c>
      <x:c r="B14" s="159" t="str">
        <x:v>公式site Schema.org/画像候補</x:v>
      </x:c>
      <x:c r="C14" s="159" t="str">
        <x:v>crawl</x:v>
      </x:c>
      <x:c r="D14" s="197" t="str">
        <x:v>△</x:v>
      </x:c>
      <x:c r="E14" s="197" t="str">
        <x:v>△</x:v>
      </x:c>
      <x:c r="F14" s="197" t="str">
        <x:v>×</x:v>
      </x:c>
      <x:c r="G14" s="197" t="str">
        <x:v>○</x:v>
      </x:c>
      <x:c r="H14" s="197" t="str">
        <x:v>×</x:v>
      </x:c>
      <x:c r="I14" s="197" t="str">
        <x:v>△</x:v>
      </x:c>
      <x:c r="J14" s="197" t="str">
        <x:v>○</x:v>
      </x:c>
      <x:c r="K14" s="197" t="str">
        <x:v>条件付き</x:v>
      </x:c>
      <x:c r="L14" s="159" t="str">
        <x:v>metadata候補→owner/license承認後に別途ingest</x:v>
      </x:c>
      <x:c r="M14" s="159" t="str">
        <x:v>公開URL/robotsは商用複製許諾でない、古いmenu</x:v>
      </x:c>
      <x:c r="N14" s="159" t="str">
        <x:v>owner claim画面の候補提示</x:v>
      </x:c>
      <x:c r="O14" s="197" t="n">
        <x:f>COUNTIF(D14:J14,"○")</x:f>
        <x:v>2</x:v>
      </x:c>
      <x:c r="P14" s="197" t="str">
        <x:f>IF(AND(D14="○",E14="○",F14="○"),"Exact候補","要追加hard evidence")</x:f>
        <x:v>要追加hard evidence</x:v>
      </x:c>
    </x:row>
    <x:row r="15" ht="54" customHeight="1">
      <x:c r="A15" s="197" t="n">
        <x:v>10</x:v>
      </x:c>
      <x:c r="B15" s="159" t="str">
        <x:v>Wikimedia Commons</x:v>
      </x:c>
      <x:c r="C15" s="159" t="str">
        <x:v>open license</x:v>
      </x:c>
      <x:c r="D15" s="197" t="str">
        <x:v>△</x:v>
      </x:c>
      <x:c r="E15" s="197" t="str">
        <x:v>×</x:v>
      </x:c>
      <x:c r="F15" s="197" t="str">
        <x:v>△</x:v>
      </x:c>
      <x:c r="G15" s="197" t="str">
        <x:v>○</x:v>
      </x:c>
      <x:c r="H15" s="197" t="str">
        <x:v>○</x:v>
      </x:c>
      <x:c r="I15" s="197" t="str">
        <x:v>△</x:v>
      </x:c>
      <x:c r="J15" s="197" t="str">
        <x:v>×</x:v>
      </x:c>
      <x:c r="K15" s="197" t="str">
        <x:v>条件付き</x:v>
      </x:c>
      <x:c r="L15" s="159" t="str">
        <x:v>asset単位license/attribution/SA + entity verification</x:v>
      </x:c>
      <x:c r="M15" s="159" t="str">
        <x:v>exact店舗料理がほぼ無い、license差</x:v>
      </x:c>
      <x:c r="N15" s="159" t="str">
        <x:v>稀な補完・category placeholder</x:v>
      </x:c>
      <x:c r="O15" s="197" t="n">
        <x:f>COUNTIF(D15:J15,"○")</x:f>
        <x:v>2</x:v>
      </x:c>
      <x:c r="P15" s="197" t="str">
        <x:f>IF(AND(D15="○",E15="○",F15="○"),"Exact候補","要追加hard evidence")</x:f>
        <x:v>要追加hard evidence</x:v>
      </x:c>
    </x:row>
    <x:row r="16" ht="54" customHeight="1">
      <x:c r="A16" s="197" t="n">
        <x:v>11</x:v>
      </x:c>
      <x:c r="B16" s="159" t="str">
        <x:v>Hot Pepper API</x:v>
      </x:c>
      <x:c r="C16" s="159" t="str">
        <x:v>媒体API</x:v>
      </x:c>
      <x:c r="D16" s="197" t="str">
        <x:v>○</x:v>
      </x:c>
      <x:c r="E16" s="197" t="str">
        <x:v>×</x:v>
      </x:c>
      <x:c r="F16" s="197" t="str">
        <x:v>△</x:v>
      </x:c>
      <x:c r="G16" s="197" t="str">
        <x:v>○</x:v>
      </x:c>
      <x:c r="H16" s="197" t="str">
        <x:v>×</x:v>
      </x:c>
      <x:c r="I16" s="197" t="str">
        <x:v>△</x:v>
      </x:c>
      <x:c r="J16" s="197" t="str">
        <x:v>○</x:v>
      </x:c>
      <x:c r="K16" s="197" t="str">
        <x:v>条件付き</x:v>
      </x:c>
      <x:c r="L16" s="159" t="str">
        <x:v>credit/cache/事業条件に従うlive店舗top photo</x:v>
      </x:c>
      <x:c r="M16" s="159" t="str">
        <x:v>exact dishでない、media master化不可</x:v>
      </x:c>
      <x:c r="N16" s="159" t="str">
        <x:v>restaurant-level enrichment</x:v>
      </x:c>
      <x:c r="O16" s="197" t="n">
        <x:f>COUNTIF(D16:J16,"○")</x:f>
        <x:v>3</x:v>
      </x:c>
      <x:c r="P16" s="197" t="str">
        <x:f>IF(AND(D16="○",E16="○",F16="○"),"Exact候補","要追加hard evidence")</x:f>
        <x:v>要追加hard evidence</x:v>
      </x:c>
    </x:row>
    <x:row r="17" ht="54" customHeight="1">
      <x:c r="A17" s="197" t="n">
        <x:v>12</x:v>
      </x:c>
      <x:c r="B17" s="159" t="str">
        <x:v>Google Places Photo live</x:v>
      </x:c>
      <x:c r="C17" s="159" t="str">
        <x:v>Maps API</x:v>
      </x:c>
      <x:c r="D17" s="197" t="str">
        <x:v>○</x:v>
      </x:c>
      <x:c r="E17" s="197" t="str">
        <x:v>×</x:v>
      </x:c>
      <x:c r="F17" s="197" t="str">
        <x:v>△</x:v>
      </x:c>
      <x:c r="G17" s="197" t="str">
        <x:v>×</x:v>
      </x:c>
      <x:c r="H17" s="197" t="str">
        <x:v>×</x:v>
      </x:c>
      <x:c r="I17" s="197" t="str">
        <x:v>△</x:v>
      </x:c>
      <x:c r="J17" s="197" t="str">
        <x:v>○</x:v>
      </x:c>
      <x:c r="K17" s="197" t="str">
        <x:v>条件付き</x:v>
      </x:c>
      <x:c r="L17" s="159" t="str">
        <x:v>Google UI/policiesに従うlive place photo。dishには使わない</x:v>
      </x:c>
      <x:c r="M17" s="159" t="str">
        <x:v>課金、保存不可、photo name expiry、exact dishでない</x:v>
      </x:c>
      <x:c r="N17" s="159" t="str">
        <x:v>place-level live機能のみ</x:v>
      </x:c>
      <x:c r="O17" s="197" t="n">
        <x:f>COUNTIF(D17:J17,"○")</x:f>
        <x:v>2</x:v>
      </x:c>
      <x:c r="P17" s="197" t="str">
        <x:f>IF(AND(D17="○",E17="○",F17="○"),"Exact候補","要追加hard evidence")</x:f>
        <x:v>要追加hard evidence</x:v>
      </x:c>
    </x:row>
    <x:row r="18" ht="54" customHeight="1">
      <x:c r="A18" s="197" t="n">
        <x:v>13</x:v>
      </x:c>
      <x:c r="B18" s="159" t="str">
        <x:v>Google Maps/口コミsite/social crawl</x:v>
      </x:c>
      <x:c r="C18" s="159" t="str">
        <x:v>無許諾crawl</x:v>
      </x:c>
      <x:c r="D18" s="197" t="str">
        <x:v>×</x:v>
      </x:c>
      <x:c r="E18" s="197" t="str">
        <x:v>×</x:v>
      </x:c>
      <x:c r="F18" s="197" t="str">
        <x:v>×</x:v>
      </x:c>
      <x:c r="G18" s="197" t="str">
        <x:v>○</x:v>
      </x:c>
      <x:c r="H18" s="197" t="str">
        <x:v>×</x:v>
      </x:c>
      <x:c r="I18" s="197" t="str">
        <x:v>×</x:v>
      </x:c>
      <x:c r="J18" s="197" t="str">
        <x:v>○</x:v>
      </x:c>
      <x:c r="K18" s="197" t="str">
        <x:v>No-Go</x:v>
      </x:c>
      <x:c r="L18" s="159" t="str">
        <x:v>なし</x:v>
      </x:c>
      <x:c r="M18" s="159" t="str">
        <x:v>規約・著作権・削除・誤紐付け・来歴を解消不能</x:v>
      </x:c>
      <x:c r="N18" s="159" t="str">
        <x:v>採用しない</x:v>
      </x:c>
      <x:c r="O18" s="197" t="n">
        <x:f>COUNTIF(D18:J18,"○")</x:f>
        <x:v>2</x:v>
      </x:c>
      <x:c r="P18" s="197" t="str">
        <x:f>IF(AND(D18="○",E18="○",F18="○"),"Exact候補","要追加hard evidence")</x:f>
        <x:v>要追加hard evidence</x:v>
      </x:c>
    </x:row>
    <x:row r="19" ht="54" customHeight="1">
      <x:c r="A19" s="197" t="n">
        <x:v>14</x:v>
      </x:c>
      <x:c r="B19" s="159" t="str">
        <x:v>stock/生成/category画像</x:v>
      </x:c>
      <x:c r="C19" s="159" t="str">
        <x:v>placeholder</x:v>
      </x:c>
      <x:c r="D19" s="197" t="str">
        <x:v>×</x:v>
      </x:c>
      <x:c r="E19" s="197" t="str">
        <x:v>×</x:v>
      </x:c>
      <x:c r="F19" s="197" t="str">
        <x:v>△</x:v>
      </x:c>
      <x:c r="G19" s="197" t="str">
        <x:v>△</x:v>
      </x:c>
      <x:c r="H19" s="197" t="str">
        <x:v>○</x:v>
      </x:c>
      <x:c r="I19" s="197" t="str">
        <x:v>○</x:v>
      </x:c>
      <x:c r="J19" s="197" t="str">
        <x:v>○</x:v>
      </x:c>
      <x:c r="K19" s="197" t="str">
        <x:v>条件付き</x:v>
      </x:c>
      <x:c r="L19" s="159" t="str">
        <x:v>『イメージ』表示、exact coverageに数えない、権利確認</x:v>
      </x:c>
      <x:c r="M19" s="159" t="str">
        <x:v>実提供料理に見せると誤認、生成hallucination</x:v>
      </x:c>
      <x:c r="N19" s="159" t="str">
        <x:v>nonblank UI fallback</x:v>
      </x:c>
      <x:c r="O19" s="197" t="n">
        <x:f>COUNTIF(D19:J19,"○")</x:f>
        <x:v>3</x:v>
      </x:c>
      <x:c r="P19" s="197" t="str">
        <x:f>IF(AND(D19="○",E19="○",F19="○"),"Exact候補","要追加hard evidence")</x:f>
        <x:v>要追加hard evidence</x:v>
      </x:c>
    </x:row>
    <x:row r="20" ht="54" customHeight="1">
      <x:c r="A20" s="197" t="n">
        <x:v>15</x:v>
      </x:c>
      <x:c r="B20" s="159" t="str">
        <x:v>自社/委託撮影</x:v>
      </x:c>
      <x:c r="C20" s="159" t="str">
        <x:v>撮影</x:v>
      </x:c>
      <x:c r="D20" s="197" t="str">
        <x:v>○</x:v>
      </x:c>
      <x:c r="E20" s="197" t="str">
        <x:v>○</x:v>
      </x:c>
      <x:c r="F20" s="197" t="str">
        <x:v>○</x:v>
      </x:c>
      <x:c r="G20" s="197" t="str">
        <x:v>×</x:v>
      </x:c>
      <x:c r="H20" s="197" t="str">
        <x:v>○</x:v>
      </x:c>
      <x:c r="I20" s="197" t="str">
        <x:v>○</x:v>
      </x:c>
      <x:c r="J20" s="197" t="str">
        <x:v>△</x:v>
      </x:c>
      <x:c r="K20" s="197" t="str">
        <x:v>主軸</x:v>
      </x:c>
      <x:c r="L20" s="159" t="str">
        <x:v>店舗/itemを撮影指示で固定、撮影者/店舗契約、release</x:v>
      </x:c>
      <x:c r="M20" s="159" t="str">
        <x:v>provider fee以外の撮影コスト、全国展開速度</x:v>
      </x:c>
      <x:c r="N20" s="159" t="str">
        <x:v>gapを確実に埋める</x:v>
      </x:c>
      <x:c r="O20" s="197" t="n">
        <x:f>COUNTIF(D20:J20,"○")</x:f>
        <x:v>5</x:v>
      </x:c>
      <x:c r="P20" s="197" t="str">
        <x:f>IF(AND(D20="○",E20="○",F20="○"),"Exact候補","要追加hard evidence")</x:f>
        <x:v>Exact候補</x:v>
      </x:c>
    </x:row>
  </x:sheetData>
  <x:mergeCells>
    <x:mergeCell ref="A1:P2"/>
    <x:mergeCell ref="A3:P3"/>
  </x:mergeCells>
  <x:conditionalFormatting sqref="K6:K20">
    <x:cfRule type="containsText" dxfId="0" priority="1" operator="containsText" text="主軸"/>
    <x:cfRule type="containsText" dxfId="1" priority="2" operator="containsText" text="条件付き"/>
    <x:cfRule type="containsText" dxfId="2" priority="3" operator="containsText" text="No-Go"/>
  </x:conditionalFormatting>
  <x:conditionalFormatting sqref="P6:P20">
    <x:cfRule type="containsText" dxfId="3" priority="4" operator="containsText" text="Exact候補"/>
    <x:cfRule type="containsText" dxfId="4" priority="5" operator="containsText" text="要追加"/>
  </x:conditionalFormatting>
  <x:pageMargins left="0.7" right="0.7" top="0.75" bottom="0.75" header="0.3" footer="0.3"/>
  <x:tableParts count="1">
    <x:tablePart xmlns:r="http://schemas.openxmlformats.org/officeDocument/2006/relationships" r:id="R4795d715ccc344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24" hidden="0" customWidth="1"/>
    <x:col min="5" max="5" width="25" hidden="0" customWidth="1"/>
    <x:col min="6" max="6" width="28" hidden="0" customWidth="1"/>
    <x:col min="7" max="7" width="26" hidden="0" customWidth="1"/>
    <x:col min="8" max="8" width="31" hidden="0" customWidth="1"/>
  </x:cols>
  <x:sheetData>
    <x:row r="1" ht="26" customHeight="1">
      <x:c r="A1" s="4" t="str">
        <x:v>Instagram official oEmbed評価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3" ht="30" customHeight="1">
      <x:c r="A3" s="8" t="str">
        <x:v>結論: 最良の補助表示。料理画像取得master・投稿探索・自動紐付けには不採用。owner確認済みexternal embedだけを詳細画面で使う。</x:v>
      </x:c>
      <x:c r="B3" s="8"/>
      <x:c r="C3" s="8"/>
      <x:c r="D3" s="8"/>
      <x:c r="E3" s="8"/>
      <x:c r="F3" s="8"/>
      <x:c r="G3" s="8"/>
      <x:c r="H3" s="8"/>
    </x:row>
    <x:row r="5">
      <x:c r="A5" s="139" t="str">
        <x:v>できること / できないこと</x:v>
      </x:c>
      <x:c r="B5" s="139"/>
      <x:c r="C5" s="139"/>
      <x:c r="D5" s="139"/>
      <x:c r="E5" s="139"/>
      <x:c r="F5" s="139"/>
      <x:c r="G5" s="139"/>
      <x:c r="H5" s="139"/>
    </x:row>
    <x:row r="6">
      <x:c r="A6" s="150" t="str">
        <x:v>観点</x:v>
      </x:c>
      <x:c r="B6" s="151" t="str">
        <x:v>現行仕様（2026-08-10）</x:v>
      </x:c>
      <x:c r="C6" s="151" t="str">
        <x:v>できる</x:v>
      </x:c>
      <x:c r="D6" s="151" t="str">
        <x:v>できない</x:v>
      </x:c>
      <x:c r="E6" s="151" t="str">
        <x:v>restaurant_idへの影響</x:v>
      </x:c>
      <x:c r="F6" s="151" t="str">
        <x:v>dish_idへの影響</x:v>
      </x:c>
      <x:c r="G6" s="151" t="str">
        <x:v>設計判断</x:v>
      </x:c>
      <x:c r="H6" s="152" t="str">
        <x:v>一次資料</x:v>
      </x:c>
    </x:row>
    <x:row r="7" ht="52" customHeight="1">
      <x:c r="A7" s="158" t="str">
        <x:v>Token</x:v>
      </x:c>
      <x:c r="B7" s="158" t="str">
        <x:v>2026-06-15 tokenless access再導入。endpointごと1,000 req/hour</x:v>
      </x:c>
      <x:c r="C7" s="158" t="str">
        <x:v>既知公開URLのembed HTML取得</x:v>
      </x:c>
      <x:c r="D7" s="158" t="str">
        <x:v>無制限bulk、投稿探索</x:v>
      </x:c>
      <x:c r="E7" s="158" t="str">
        <x:v>なし</x:v>
      </x:c>
      <x:c r="F7" s="158" t="str">
        <x:v>なし</x:v>
      </x:c>
      <x:c r="G7" s="158" t="str">
        <x:v>availability checkに利用</x:v>
      </x:c>
      <x:c r="H7" s="158" t="str">
        <x:v>Meta developer blog</x:v>
      </x:c>
    </x:row>
    <x:row r="8" ht="52" customHeight="1">
      <x:c r="A8" s="159" t="str">
        <x:v>入力</x:v>
      </x:c>
      <x:c r="B8" s="159" t="str">
        <x:v>既知のInstagram content URL</x:v>
      </x:c>
      <x:c r="C8" s="159" t="str">
        <x:v>ownerが貼ったpost/reelを表示</x:v>
      </x:c>
      <x:c r="D8" s="159" t="str">
        <x:v>accountの投稿一覧・検索</x:v>
      </x:c>
      <x:c r="E8" s="159" t="str">
        <x:v>URLだけでは支店不明</x:v>
      </x:c>
      <x:c r="F8" s="159" t="str">
        <x:v>URLだけでは料理不明</x:v>
      </x:c>
      <x:c r="G8" s="159" t="str">
        <x:v>owner選択を必須</x:v>
      </x:c>
      <x:c r="H8" s="159" t="str">
        <x:v>Instagram oEmbed docs</x:v>
      </x:c>
    </x:row>
    <x:row r="9" ht="52" customHeight="1">
      <x:c r="A9" s="159" t="str">
        <x:v>response</x:v>
      </x:c>
      <x:c r="B9" s="159" t="str">
        <x:v>provider情報とHTML。旧author/thumbnail fieldsは移行で削除</x:v>
      </x:c>
      <x:c r="C9" s="159" t="str">
        <x:v>provider widgetを表示</x:v>
      </x:c>
      <x:c r="D9" s="159" t="str">
        <x:v>安定thumbnailやauthor本人確認</x:v>
      </x:c>
      <x:c r="E9" s="159" t="str">
        <x:v>author fieldで店舗確定不可</x:v>
      </x:c>
      <x:c r="F9" s="159" t="str">
        <x:v>thumbnail CVで確定不可</x:v>
      </x:c>
      <x:c r="G9" s="159" t="str">
        <x:v>画像URL抽出scrape禁止</x:v>
      </x:c>
      <x:c r="H9" s="159" t="str">
        <x:v>Instagram changelog</x:v>
      </x:c>
    </x:row>
    <x:row r="10" ht="52" customHeight="1">
      <x:c r="A10" s="159" t="str">
        <x:v>対象</x:v>
      </x:c>
      <x:c r="B10" s="159" t="str">
        <x:v>public content。private/inactive/age-restricted/embed無効等は不可</x:v>
      </x:c>
      <x:c r="C10" s="159" t="str">
        <x:v>公開post/reel等</x:v>
      </x:c>
      <x:c r="D10" s="159" t="str">
        <x:v>Stories、非公開、embed無効</x:v>
      </x:c>
      <x:c r="E10" s="159" t="str">
        <x:v>ownerが後で無効化可</x:v>
      </x:c>
      <x:c r="F10" s="159" t="str">
        <x:v>同左</x:v>
      </x:c>
      <x:c r="G10" s="159" t="str">
        <x:v>定期checkと即時fallback</x:v>
      </x:c>
      <x:c r="H10" s="159" t="str">
        <x:v>Instagram Help</x:v>
      </x:c>
    </x:row>
    <x:row r="11" ht="52" customHeight="1">
      <x:c r="A11" s="159" t="str">
        <x:v>権利</x:v>
      </x:c>
      <x:c r="B11" s="159" t="str">
        <x:v>embed機構の利用はcopyright移転でない</x:v>
      </x:c>
      <x:c r="C11" s="159" t="str">
        <x:v>provider条件下の外部表示</x:v>
      </x:c>
      <x:c r="D11" s="159" t="str">
        <x:v>自社CDNへの保存・加工権を自動取得</x:v>
      </x:c>
      <x:c r="E11" s="159" t="str">
        <x:v>owner確認が必要</x:v>
      </x:c>
      <x:c r="F11" s="159" t="str">
        <x:v>撮影者/料理同定も必要</x:v>
      </x:c>
      <x:c r="G11" s="159" t="str">
        <x:v>owned imageと別asset_kind</x:v>
      </x:c>
      <x:c r="H11" s="159" t="str">
        <x:v>Meta terms / owner consent</x:v>
      </x:c>
    </x:row>
    <x:row r="12" ht="52" customHeight="1">
      <x:c r="A12" s="159" t="str">
        <x:v>UI</x:v>
      </x:c>
      <x:c r="B12" s="159" t="str">
        <x:v>HTML widget + provider script</x:v>
      </x:c>
      <x:c r="C12" s="159" t="str">
        <x:v>詳細画面でlazy load</x:v>
      </x:c>
      <x:c r="D12" s="159" t="str">
        <x:v>安定したmap/list thumbnail</x:v>
      </x:c>
      <x:c r="E12" s="159" t="str">
        <x:v>なし</x:v>
      </x:c>
      <x:c r="F12" s="159" t="str">
        <x:v>なし</x:v>
      </x:c>
      <x:c r="G12" s="159" t="str">
        <x:v>Expo WebView/CSP/consent POC</x:v>
      </x:c>
      <x:c r="H12" s="159" t="str">
        <x:v>oEmbed response</x:v>
      </x:c>
    </x:row>
    <x:row r="14">
      <x:c r="A14" s="139" t="str">
        <x:v>安全なowner flow</x:v>
      </x:c>
      <x:c r="B14" s="139"/>
      <x:c r="C14" s="139"/>
      <x:c r="D14" s="139"/>
      <x:c r="E14" s="139"/>
      <x:c r="F14" s="139"/>
      <x:c r="G14" s="139"/>
      <x:c r="H14" s="139"/>
    </x:row>
    <x:row r="15">
      <x:c r="A15" s="150" t="str">
        <x:v>順</x:v>
      </x:c>
      <x:c r="B15" s="151" t="str">
        <x:v>Actor</x:v>
      </x:c>
      <x:c r="C15" s="151" t="str">
        <x:v>操作</x:v>
      </x:c>
      <x:c r="D15" s="151" t="str">
        <x:v>hard evidence</x:v>
      </x:c>
      <x:c r="E15" s="151" t="str">
        <x:v>system check</x:v>
      </x:c>
      <x:c r="F15" s="151" t="str">
        <x:v>保存</x:v>
      </x:c>
      <x:c r="G15" s="151" t="str">
        <x:v>公開</x:v>
      </x:c>
      <x:c r="H15" s="152" t="str">
        <x:v>failure時</x:v>
      </x:c>
    </x:row>
    <x:row r="16" ht="42" customHeight="1">
      <x:c r="A16" s="158" t="n">
        <x:v>1</x:v>
      </x:c>
      <x:c r="B16" s="158" t="str">
        <x:v>owner</x:v>
      </x:c>
      <x:c r="C16" s="158" t="str">
        <x:v>restaurant claim</x:v>
      </x:c>
      <x:c r="D16" s="158" t="str">
        <x:v>domain/電話/GBP/POS等</x:v>
      </x:c>
      <x:c r="E16" s="158" t="str">
        <x:v>owner sessionを検証</x:v>
      </x:c>
      <x:c r="F16" s="158" t="str">
        <x:v>restaurant claim</x:v>
      </x:c>
      <x:c r="G16" s="158" t="str">
        <x:v>まだ非公開</x:v>
      </x:c>
      <x:c r="H16" s="158" t="str">
        <x:v>candidate</x:v>
      </x:c>
    </x:row>
    <x:row r="17" ht="42" customHeight="1">
      <x:c r="A17" s="159" t="n">
        <x:v>2</x:v>
      </x:c>
      <x:c r="B17" s="159" t="str">
        <x:v>owner</x:v>
      </x:c>
      <x:c r="C17" s="159" t="str">
        <x:v>単一支店を選択</x:v>
      </x:c>
      <x:c r="D17" s="159" t="str">
        <x:v>対象restaurant_id</x:v>
      </x:c>
      <x:c r="E17" s="159" t="str">
        <x:v>chain/corporate ambiguity</x:v>
      </x:c>
      <x:c r="F17" s="159" t="str">
        <x:v>exact_location scope</x:v>
      </x:c>
      <x:c r="G17" s="159" t="str">
        <x:v>まだ非公開</x:v>
      </x:c>
      <x:c r="H17" s="159" t="str">
        <x:v>候補へ戻す</x:v>
      </x:c>
    </x:row>
    <x:row r="18" ht="42" customHeight="1">
      <x:c r="A18" s="159" t="n">
        <x:v>3</x:v>
      </x:c>
      <x:c r="B18" s="159" t="str">
        <x:v>owner</x:v>
      </x:c>
      <x:c r="C18" s="159" t="str">
        <x:v>exact menu item/revisionを選択</x:v>
      </x:c>
      <x:c r="D18" s="159" t="str">
        <x:v>menu_item_id + revision</x:v>
      </x:c>
      <x:c r="E18" s="159" t="str">
        <x:v>itemが同一restaurantか</x:v>
      </x:c>
      <x:c r="F18" s="159" t="str">
        <x:v>menu item claim</x:v>
      </x:c>
      <x:c r="G18" s="159" t="str">
        <x:v>まだ非公開</x:v>
      </x:c>
      <x:c r="H18" s="159" t="str">
        <x:v>transaction reject</x:v>
      </x:c>
    </x:row>
    <x:row r="19" ht="42" customHeight="1">
      <x:c r="A19" s="159" t="n">
        <x:v>4</x:v>
      </x:c>
      <x:c r="B19" s="159" t="str">
        <x:v>owner</x:v>
      </x:c>
      <x:c r="C19" s="159" t="str">
        <x:v>Instagram URLを貼る/自分の投稿から選択</x:v>
      </x:c>
      <x:c r="D19" s="159" t="str">
        <x:v>owner assertion</x:v>
      </x:c>
      <x:c r="E19" s="159" t="str">
        <x:v>canonical URL/provider</x:v>
      </x:c>
      <x:c r="F19" s="159" t="str">
        <x:v>external_embed URL</x:v>
      </x:c>
      <x:c r="G19" s="159" t="str">
        <x:v>まだ非公開</x:v>
      </x:c>
      <x:c r="H19" s="159" t="str">
        <x:v>invalid URL</x:v>
      </x:c>
    </x:row>
    <x:row r="20" ht="42" customHeight="1">
      <x:c r="A20" s="159" t="n">
        <x:v>5</x:v>
      </x:c>
      <x:c r="B20" s="159" t="str">
        <x:v>system</x:v>
      </x:c>
      <x:c r="C20" s="159" t="str">
        <x:v>official oEmbed検査</x:v>
      </x:c>
      <x:c r="D20" s="159" t="str">
        <x:v>provider response</x:v>
      </x:c>
      <x:c r="E20" s="159" t="str">
        <x:v>public/embed enabled</x:v>
      </x:c>
      <x:c r="F20" s="159" t="str">
        <x:v>availability state</x:v>
      </x:c>
      <x:c r="G20" s="159" t="str">
        <x:v>まだ非公開</x:v>
      </x:c>
      <x:c r="H20" s="159" t="str">
        <x:v>unavailable</x:v>
      </x:c>
    </x:row>
    <x:row r="21" ht="42" customHeight="1">
      <x:c r="A21" s="159" t="n">
        <x:v>6</x:v>
      </x:c>
      <x:c r="B21" s="159" t="str">
        <x:v>owner</x:v>
      </x:c>
      <x:c r="C21" s="159" t="str">
        <x:v>支店・料理・表示権限を最終確認</x:v>
      </x:c>
      <x:c r="D21" s="159" t="str">
        <x:v>consent version + timestamp</x:v>
      </x:c>
      <x:c r="E21" s="159" t="str">
        <x:v>rights fields completeness</x:v>
      </x:c>
      <x:c r="F21" s="159" t="str">
        <x:v>audit event</x:v>
      </x:c>
      <x:c r="G21" s="159" t="str">
        <x:v>gate判定</x:v>
      </x:c>
      <x:c r="H21" s="159" t="str">
        <x:v>candidate</x:v>
      </x:c>
    </x:row>
    <x:row r="22" ht="42" customHeight="1">
      <x:c r="A22" s="159" t="n">
        <x:v>7</x:v>
      </x:c>
      <x:c r="B22" s="159" t="str">
        <x:v>system</x:v>
      </x:c>
      <x:c r="C22" s="159" t="str">
        <x:v>detailでprovider widgetをlazy load</x:v>
      </x:c>
      <x:c r="D22" s="159" t="str">
        <x:v>全claim verified</x:v>
      </x:c>
      <x:c r="E22" s="159" t="str">
        <x:v>revision active</x:v>
      </x:c>
      <x:c r="F22" s="159" t="str">
        <x:v>binaryは保存しない</x:v>
      </x:c>
      <x:c r="G22" s="159" t="str">
        <x:v>external badge付き</x:v>
      </x:c>
      <x:c r="H22" s="159" t="str">
        <x:v>placeholder</x:v>
      </x:c>
    </x:row>
    <x:row r="23" ht="42" customHeight="1">
      <x:c r="A23" s="159" t="n">
        <x:v>8</x:v>
      </x:c>
      <x:c r="B23" s="159" t="str">
        <x:v>system</x:v>
      </x:c>
      <x:c r="C23" s="159" t="str">
        <x:v>定期availability check</x:v>
      </x:c>
      <x:c r="D23" s="159" t="str">
        <x:v>HTTP/provider status</x:v>
      </x:c>
      <x:c r="E23" s="159" t="str">
        <x:v>delete/private/embed off</x:v>
      </x:c>
      <x:c r="F23" s="159" t="str">
        <x:v>last_checked_at</x:v>
      </x:c>
      <x:c r="G23" s="159" t="str">
        <x:v>active時のみ</x:v>
      </x:c>
      <x:c r="H23" s="159" t="str">
        <x:v>即時非表示</x:v>
      </x:c>
    </x:row>
    <x:row r="25">
      <x:c r="A25" s="139" t="str">
        <x:v>致命的edge case</x:v>
      </x:c>
      <x:c r="B25" s="139"/>
      <x:c r="C25" s="139"/>
      <x:c r="D25" s="139"/>
      <x:c r="E25" s="139"/>
      <x:c r="F25" s="139"/>
      <x:c r="G25" s="139"/>
      <x:c r="H25" s="139"/>
    </x:row>
    <x:row r="26">
      <x:c r="A26" s="150" t="str">
        <x:v>Case</x:v>
      </x:c>
      <x:c r="B26" s="151" t="str">
        <x:v>危険</x:v>
      </x:c>
      <x:c r="C26" s="151" t="str">
        <x:v>自動推定で起きる事故</x:v>
      </x:c>
      <x:c r="D26" s="151" t="str">
        <x:v>許可scope</x:v>
      </x:c>
      <x:c r="E26" s="151" t="str">
        <x:v>exact表示</x:v>
      </x:c>
      <x:c r="F26" s="151" t="str">
        <x:v>必要証拠</x:v>
      </x:c>
      <x:c r="G26" s="151" t="str">
        <x:v>AIの役割</x:v>
      </x:c>
      <x:c r="H26" s="152" t="str">
        <x:v>判定</x:v>
      </x:c>
    </x:row>
    <x:row r="27" ht="46" customHeight="1">
      <x:c r="A27" s="158" t="str">
        <x:v>brand共通account</x:v>
      </x:c>
      <x:c r="B27" s="158" t="str">
        <x:v>複数支店</x:v>
      </x:c>
      <x:c r="C27" s="158" t="str">
        <x:v>東京支店の写真を大阪支店へ表示</x:v>
      </x:c>
      <x:c r="D27" s="158" t="str">
        <x:v>明示支店集合のみ</x:v>
      </x:c>
      <x:c r="E27" s="158" t="str">
        <x:v>owner/HQ承認時のみ</x:v>
      </x:c>
      <x:c r="F27" s="158" t="str">
        <x:v>location scope</x:v>
      </x:c>
      <x:c r="G27" s="158" t="str">
        <x:v>矛盾検知</x:v>
      </x:c>
      <x:c r="H27" s="158" t="str">
        <x:v>未確認は非公開</x:v>
      </x:c>
    </x:row>
    <x:row r="28" ht="46" customHeight="1">
      <x:c r="A28" s="159" t="str">
        <x:v>carousel</x:v>
      </x:c>
      <x:c r="B28" s="159" t="str">
        <x:v>複数料理</x:v>
      </x:c>
      <x:c r="C28" s="159" t="str">
        <x:v>1枚目以外を単一dishと誤認</x:v>
      </x:c>
      <x:c r="D28" s="159" t="str">
        <x:v>multiple_items</x:v>
      </x:c>
      <x:c r="E28" s="159" t="str">
        <x:v>原則しない</x:v>
      </x:c>
      <x:c r="F28" s="159" t="str">
        <x:v>owner item選択+UI注記</x:v>
      </x:c>
      <x:c r="G28" s="159" t="str">
        <x:v>複数料理検知</x:v>
      </x:c>
      <x:c r="H28" s="159" t="str">
        <x:v>embed全体を表示</x:v>
      </x:c>
    </x:row>
    <x:row r="29" ht="46" customHeight="1">
      <x:c r="A29" s="159" t="str">
        <x:v>repost</x:v>
      </x:c>
      <x:c r="B29" s="159" t="str">
        <x:v>撮影者が別</x:v>
      </x:c>
      <x:c r="C29" s="159" t="str">
        <x:v>店舗投稿だから権利ありと誤認</x:v>
      </x:c>
      <x:c r="D29" s="159" t="str">
        <x:v>なし</x:v>
      </x:c>
      <x:c r="E29" s="159" t="str">
        <x:v>権利確認後のみ</x:v>
      </x:c>
      <x:c r="F29" s="159" t="str">
        <x:v>撮影者/license</x:v>
      </x:c>
      <x:c r="G29" s="159" t="str">
        <x:v>透かし/重複検知</x:v>
      </x:c>
      <x:c r="H29" s="159" t="str">
        <x:v>candidate</x:v>
      </x:c>
    </x:row>
    <x:row r="30" ht="46" customHeight="1">
      <x:c r="A30" s="159" t="str">
        <x:v>collaboration</x:v>
      </x:c>
      <x:c r="B30" s="159" t="str">
        <x:v>共同投稿</x:v>
      </x:c>
      <x:c r="C30" s="159" t="str">
        <x:v>collaborator=対象店舗と誤認</x:v>
      </x:c>
      <x:c r="D30" s="159" t="str">
        <x:v>明示支店のみ</x:v>
      </x:c>
      <x:c r="E30" s="159" t="str">
        <x:v>owner承認時のみ</x:v>
      </x:c>
      <x:c r="F30" s="159" t="str">
        <x:v>owner claim</x:v>
      </x:c>
      <x:c r="G30" s="159" t="str">
        <x:v>account不一致検知</x:v>
      </x:c>
      <x:c r="H30" s="159" t="str">
        <x:v>candidate</x:v>
      </x:c>
    </x:row>
    <x:row r="31" ht="46" customHeight="1">
      <x:c r="A31" s="159" t="str">
        <x:v>季節限定/過去menu</x:v>
      </x:c>
      <x:c r="B31" s="159" t="str">
        <x:v>販売終了</x:v>
      </x:c>
      <x:c r="C31" s="159" t="str">
        <x:v>現在の定番として表示</x:v>
      </x:c>
      <x:c r="D31" s="159" t="str">
        <x:v>revision/期間</x:v>
      </x:c>
      <x:c r="E31" s="159" t="str">
        <x:v>active期間のみ</x:v>
      </x:c>
      <x:c r="F31" s="159" t="str">
        <x:v>valid_from/to</x:v>
      </x:c>
      <x:c r="G31" s="159" t="str">
        <x:v>caption日付補助</x:v>
      </x:c>
      <x:c r="H31" s="159" t="str">
        <x:v>終了後archive</x:v>
      </x:c>
    </x:row>
    <x:row r="32" ht="46" customHeight="1">
      <x:c r="A32" s="159" t="str">
        <x:v>delivery/ghost kitchen</x:v>
      </x:c>
      <x:c r="B32" s="159" t="str">
        <x:v>住所共有</x:v>
      </x:c>
      <x:c r="C32" s="159" t="str">
        <x:v>実店舗へ誤結合</x:v>
      </x:c>
      <x:c r="D32" s="159" t="str">
        <x:v>brand+location exact</x:v>
      </x:c>
      <x:c r="E32" s="159" t="str">
        <x:v>owner承認時のみ</x:v>
      </x:c>
      <x:c r="F32" s="159" t="str">
        <x:v>merchant ID</x:v>
      </x:c>
      <x:c r="G32" s="159" t="str">
        <x:v>名称/geofence矛盾</x:v>
      </x:c>
      <x:c r="H32" s="159" t="str">
        <x:v>candidate</x:v>
      </x:c>
    </x:row>
    <x:row r="33" ht="46" customHeight="1">
      <x:c r="A33" s="159" t="str">
        <x:v>embed disabled/private</x:v>
      </x:c>
      <x:c r="B33" s="159" t="str">
        <x:v>表示消失</x:v>
      </x:c>
      <x:c r="C33" s="159" t="str">
        <x:v>壊れたcard/古いcache</x:v>
      </x:c>
      <x:c r="D33" s="159" t="str">
        <x:v>なし</x:v>
      </x:c>
      <x:c r="E33" s="159" t="str">
        <x:v>不可</x:v>
      </x:c>
      <x:c r="F33" s="159" t="str">
        <x:v>availability check</x:v>
      </x:c>
      <x:c r="G33" s="159" t="str">
        <x:v>なし</x:v>
      </x:c>
      <x:c r="H33" s="159" t="str">
        <x:v>即時fallback</x:v>
      </x:c>
    </x:row>
  </x:sheetData>
  <x:mergeCells>
    <x:mergeCell ref="A1:H2"/>
    <x:mergeCell ref="A3:H3"/>
    <x:mergeCell ref="A5:H5"/>
    <x:mergeCell ref="A14:H14"/>
    <x:mergeCell ref="A25:H25"/>
  </x:mergeCells>
  <x:pageMargins left="0.7" right="0.7" top="0.75" bottom="0.75" header="0.3" footer="0.3"/>
  <x:tableParts count="3">
    <x:tablePart xmlns:r="http://schemas.openxmlformats.org/officeDocument/2006/relationships" r:id="Rc7b4a2a886a44cd4"/>
    <x:tablePart xmlns:r="http://schemas.openxmlformats.org/officeDocument/2006/relationships" r:id="R09df61238bfd4a38"/>
    <x:tablePart xmlns:r="http://schemas.openxmlformats.org/officeDocument/2006/relationships" r:id="Rf4b90c7990594c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37" hidden="0" customWidth="1"/>
    <x:col min="4" max="4" width="38" hidden="0" customWidth="1"/>
    <x:col min="5" max="5" width="39" hidden="0" customWidth="1"/>
    <x:col min="6" max="6" width="42" hidden="0" customWidth="1"/>
    <x:col min="7" max="7" width="10" hidden="0" customWidth="1"/>
    <x:col min="8" max="8" width="30" hidden="0" customWidth="1"/>
  </x:cols>
  <x:sheetData>
    <x:row r="1" ht="26" customHeight="1">
      <x:c r="A1" s="4" t="str">
        <x:v>現行実装のdish_media監査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3" ht="30" customHeight="1">
      <x:c r="A3" s="8" t="str">
        <x:v>コードを読んだ結果。調査資料上の推奨であり、このコミットではアプリコード自体を変更しない。</x:v>
      </x:c>
      <x:c r="B3" s="8"/>
      <x:c r="C3" s="8"/>
      <x:c r="D3" s="8"/>
      <x:c r="E3" s="8"/>
      <x:c r="F3" s="8"/>
      <x:c r="G3" s="8"/>
      <x:c r="H3" s="8"/>
    </x:row>
    <x:row r="5">
      <x:c r="A5" s="150" t="str">
        <x:v>Severity</x:v>
      </x:c>
      <x:c r="B5" s="151" t="str">
        <x:v>対象</x:v>
      </x:c>
      <x:c r="C5" s="151" t="str">
        <x:v>証拠ファイル</x:v>
      </x:c>
      <x:c r="D5" s="151" t="str">
        <x:v>現行挙動</x:v>
      </x:c>
      <x:c r="E5" s="151" t="str">
        <x:v>致命事故</x:v>
      </x:c>
      <x:c r="F5" s="151" t="str">
        <x:v>推奨対応</x:v>
      </x:c>
      <x:c r="G5" s="151" t="str">
        <x:v>優先</x:v>
      </x:c>
      <x:c r="H5" s="152" t="str">
        <x:v>検証</x:v>
      </x:c>
    </x:row>
    <x:row r="6" ht="56" customHeight="1">
      <x:c r="A6" s="158" t="str">
        <x:v>S0</x:v>
      </x:c>
      <x:c r="B6" s="158" t="str">
        <x:v>dishes entity</x:v>
      </x:c>
      <x:c r="C6" s="158" t="str">
        <x:v>shared/prisma/schema.prisma</x:v>
      </x:c>
      <x:c r="D6" s="158" t="str">
        <x:v>restaurant_id + category_idがunique。name nullable</x:v>
      </x:c>
      <x:c r="E6" s="158" t="str">
        <x:v>exact menu itemとcategory entityを混同</x:v>
      </x:c>
      <x:c r="F6" s="158" t="str">
        <x:v>menu_items + revisions新設。現行dishesはcategory scopeと明示</x:v>
      </x:c>
      <x:c r="G6" s="158" t="str">
        <x:v>P0/P1</x:v>
      </x:c>
      <x:c r="H6" s="158" t="str">
        <x:v>DB constraint・API contract test</x:v>
      </x:c>
    </x:row>
    <x:row r="7" ht="56" customHeight="1">
      <x:c r="A7" s="159" t="str">
        <x:v>S0</x:v>
      </x:c>
      <x:c r="B7" s="159" t="str">
        <x:v>Google photo選択</x:v>
      </x:c>
      <x:c r="C7" s="159" t="str">
        <x:v>api/src/v1/dishes/dishes.service.ts</x:v>
      </x:c>
      <x:c r="D7" s="159" t="str">
        <x:v>contextual photoが無ければplace.photosへfallback</x:v>
      </x:c>
      <x:c r="E7" s="159" t="str">
        <x:v>店内/外観/別料理を検索カテゴリの料理写真として公開</x:v>
      </x:c>
      <x:c r="F7" s="159" t="str">
        <x:v>新規公開停止。既存sourceをcandidateへ降格</x:v>
      </x:c>
      <x:c r="G7" s="159" t="str">
        <x:v>P0</x:v>
      </x:c>
      <x:c r="H7" s="159" t="str">
        <x:v>fixtureでgeneric photo fallbackをblock</x:v>
      </x:c>
    </x:row>
    <x:row r="8" ht="56" customHeight="1">
      <x:c r="A8" s="159" t="str">
        <x:v>S0</x:v>
      </x:c>
      <x:c r="B8" s="159" t="str">
        <x:v>Google review選択</x:v>
      </x:c>
      <x:c r="C8" s="159" t="str">
        <x:v>api/src/v1/dishes/dishes.service.ts</x:v>
      </x:c>
      <x:c r="D8" s="159" t="str">
        <x:v>place/contextual reviewをdish_reviewsへ保存</x:v>
      </x:c>
      <x:c r="E8" s="159" t="str">
        <x:v>店舗全体reviewを特定料理reviewと誤表示</x:v>
      </x:c>
      <x:c r="F8" s="159" t="str">
        <x:v>新規生成停止。exact dish根拠なしreviewを分離</x:v>
      </x:c>
      <x:c r="G8" s="159" t="str">
        <x:v>P0</x:v>
      </x:c>
      <x:c r="H8" s="159" t="str">
        <x:v>source/relation gate</x:v>
      </x:c>
    </x:row>
    <x:row r="9" ht="56" customHeight="1">
      <x:c r="A9" s="159" t="str">
        <x:v>S0</x:v>
      </x:c>
      <x:c r="B9" s="159" t="str">
        <x:v>Google photo再保存</x:v>
      </x:c>
      <x:c r="C9" s="159" t="str">
        <x:v>api/src/internal/dishes/create-dish-media-entry.service.ts</x:v>
      </x:c>
      <x:c r="D9" s="159" t="str">
        <x:v>photoUriをfetchしてstorageへupload</x:v>
      </x:c>
      <x:c r="E9" s="159" t="str">
        <x:v>Maps規約上のrehost/storage riskと削除追随不能</x:v>
      </x:c>
      <x:c r="F9" s="159" t="str">
        <x:v>配信停止範囲を法務確認。Googleはlive用途へ</x:v>
      </x:c>
      <x:c r="G9" s="159" t="str">
        <x:v>P0</x:v>
      </x:c>
      <x:c r="H9" s="159" t="str">
        <x:v>provenance inventory</x:v>
      </x:c>
    </x:row>
    <x:row r="10" ht="56" customHeight="1">
      <x:c r="A10" s="159" t="str">
        <x:v>S1</x:v>
      </x:c>
      <x:c r="B10" s="159" t="str">
        <x:v>dish_media schema</x:v>
      </x:c>
      <x:c r="C10" s="159" t="str">
        <x:v>shared/prisma/schema.prisma</x:v>
      </x:c>
      <x:c r="D10" s="159" t="str">
        <x:v>path、thumbnail、type中心。権利/由来/claimなし</x:v>
      </x:c>
      <x:c r="E10" s="159" t="str">
        <x:v>なぜ公開可能か監査不能</x:v>
      </x:c>
      <x:c r="F10" s="159" t="str">
        <x:v>media_assets + claims + rights + audit log</x:v>
      </x:c>
      <x:c r="G10" s="159" t="str">
        <x:v>P1</x:v>
      </x:c>
      <x:c r="H10" s="159" t="str">
        <x:v>public query invariant</x:v>
      </x:c>
    </x:row>
    <x:row r="11" ht="56" customHeight="1">
      <x:c r="A11" s="159" t="str">
        <x:v>S1</x:v>
      </x:c>
      <x:c r="B11" s="159" t="str">
        <x:v>ReviewForm</x:v>
      </x:c>
      <x:c r="C11" s="159" t="str">
        <x:v>app-expo/features/map/components/ReviewForm.tsx</x:v>
      </x:c>
      <x:c r="D11" s="159" t="str">
        <x:v>restaurantとdish categoryを利用者選択</x:v>
      </x:c>
      <x:c r="E11" s="159" t="str">
        <x:v>restaurant選択ミス、exact item未特定</x:v>
      </x:c>
      <x:c r="F11" s="159" t="str">
        <x:v>signed QR/item選択追加。未確認はcategory表示</x:v>
      </x:c>
      <x:c r="G11" s="159" t="str">
        <x:v>P2</x:v>
      </x:c>
      <x:c r="H11" s="159" t="str">
        <x:v>QR改ざん・選択error test</x:v>
      </x:c>
    </x:row>
    <x:row r="12" ht="56" customHeight="1">
      <x:c r="A12" s="159" t="str">
        <x:v>S1</x:v>
      </x:c>
      <x:c r="B12" s="159" t="str">
        <x:v>外部embed表現</x:v>
      </x:c>
      <x:c r="C12" s="159" t="str">
        <x:v>dish_mediaにfieldなし</x:v>
      </x:c>
      <x:c r="D12" s="159" t="str">
        <x:v>URL/pathの同一rendererを想定</x:v>
      </x:c>
      <x:c r="E12" s="159" t="str">
        <x:v>Instagram HTMLを画像pathへ混在、一覧で破綻</x:v>
      </x:c>
      <x:c r="F12" s="159" t="str">
        <x:v>external_embeds + type別resolver/renderer</x:v>
      </x:c>
      <x:c r="G12" s="159" t="str">
        <x:v>P1</x:v>
      </x:c>
      <x:c r="H12" s="159" t="str">
        <x:v>WebView/CSP/fallback POC</x:v>
      </x:c>
    </x:row>
    <x:row r="14">
      <x:c r="A14" s="139" t="str">
        <x:v>P0 release block</x:v>
      </x:c>
      <x:c r="B14" s="139"/>
      <x:c r="C14" s="139"/>
      <x:c r="D14" s="139"/>
      <x:c r="E14" s="139"/>
      <x:c r="F14" s="139"/>
      <x:c r="G14" s="139"/>
      <x:c r="H14" s="139"/>
    </x:row>
    <x:row r="15">
      <x:c r="A15" s="150" t="str">
        <x:v>Gate</x:v>
      </x:c>
      <x:c r="B15" s="151" t="str">
        <x:v>条件</x:v>
      </x:c>
      <x:c r="C15" s="151" t="str">
        <x:v>失敗時</x:v>
      </x:c>
      <x:c r="D15" s="151" t="str">
        <x:v>Owner</x:v>
      </x:c>
      <x:c r="E15" s="151" t="str">
        <x:v>対象</x:v>
      </x:c>
      <x:c r="F15" s="151" t="str">
        <x:v>ログ</x:v>
      </x:c>
      <x:c r="G15" s="151" t="str">
        <x:v>rollback</x:v>
      </x:c>
      <x:c r="H15" s="152" t="str">
        <x:v>備考</x:v>
      </x:c>
    </x:row>
    <x:row r="16" ht="48" customHeight="1">
      <x:c r="A16" s="158" t="str">
        <x:v>G-01</x:v>
      </x:c>
      <x:c r="B16" s="158" t="str">
        <x:v>Google generic/place photoをexact dishとして新規公開しない</x:v>
      </x:c>
      <x:c r="C16" s="158" t="str">
        <x:v>release block</x:v>
      </x:c>
      <x:c r="D16" s="158" t="str">
        <x:v>API</x:v>
      </x:c>
      <x:c r="E16" s="158" t="str">
        <x:v>bulkImportFromGoogle</x:v>
      </x:c>
      <x:c r="F16" s="158" t="str">
        <x:v>source+relation</x:v>
      </x:c>
      <x:c r="G16" s="158" t="str">
        <x:v>feature flag off</x:v>
      </x:c>
      <x:c r="H16" s="158" t="str">
        <x:v>contextualでもexact保証は別途必要</x:v>
      </x:c>
    </x:row>
    <x:row r="17" ht="48" customHeight="1">
      <x:c r="A17" s="159" t="str">
        <x:v>G-02</x:v>
      </x:c>
      <x:c r="B17" s="159" t="str">
        <x:v>public exact mediaはrights/restaurant/item全claim verified</x:v>
      </x:c>
      <x:c r="C17" s="159" t="str">
        <x:v>queryから除外</x:v>
      </x:c>
      <x:c r="D17" s="159" t="str">
        <x:v>DB/API</x:v>
      </x:c>
      <x:c r="E17" s="159" t="str">
        <x:v>全media</x:v>
      </x:c>
      <x:c r="F17" s="159" t="str">
        <x:v>audit event</x:v>
      </x:c>
      <x:c r="G17" s="159" t="str">
        <x:v>candidateへ降格</x:v>
      </x:c>
      <x:c r="H17" s="159" t="str">
        <x:v>confidence scoreで迂回不可</x:v>
      </x:c>
    </x:row>
    <x:row r="18" ht="48" customHeight="1">
      <x:c r="A18" s="159" t="str">
        <x:v>G-03</x:v>
      </x:c>
      <x:c r="B18" s="159" t="str">
        <x:v>source不明既存mediaをinventory化</x:v>
      </x:c>
      <x:c r="C18" s="159" t="str">
        <x:v>exact面から隔離</x:v>
      </x:c>
      <x:c r="D18" s="159" t="str">
        <x:v>Data</x:v>
      </x:c>
      <x:c r="E18" s="159" t="str">
        <x:v>既存dish_media</x:v>
      </x:c>
      <x:c r="F18" s="159" t="str">
        <x:v>migration report</x:v>
      </x:c>
      <x:c r="G18" s="159" t="str">
        <x:v>read-only archive</x:v>
      </x:c>
      <x:c r="H18" s="159" t="str">
        <x:v>削除前に法務・事業判断</x:v>
      </x:c>
    </x:row>
  </x:sheetData>
  <x:mergeCells>
    <x:mergeCell ref="A1:H2"/>
    <x:mergeCell ref="A3:H3"/>
    <x:mergeCell ref="A14:H14"/>
  </x:mergeCells>
  <x:conditionalFormatting sqref="A6:A12">
    <x:cfRule type="containsText" dxfId="5" priority="1" operator="containsText" text="S0"/>
    <x:cfRule type="containsText" dxfId="6" priority="2" operator="containsText" text="S1"/>
  </x:conditionalFormatting>
  <x:pageMargins left="0.7" right="0.7" top="0.75" bottom="0.75" header="0.3" footer="0.3"/>
  <x:tableParts count="2">
    <x:tablePart xmlns:r="http://schemas.openxmlformats.org/officeDocument/2006/relationships" r:id="R471558d837e14569"/>
    <x:tablePart xmlns:r="http://schemas.openxmlformats.org/officeDocument/2006/relationships" r:id="R96805c6587dd43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15" hidden="0" customWidth="1"/>
    <x:col min="5" max="5" width="15" hidden="0" customWidth="1"/>
    <x:col min="6" max="6" width="19" hidden="0" customWidth="1"/>
    <x:col min="7" max="7" width="22" hidden="0" customWidth="1"/>
    <x:col min="8" max="8" width="22" hidden="0" customWidth="1"/>
    <x:col min="9" max="9" width="24" hidden="0" customWidth="1"/>
  </x:cols>
  <x:sheetData>
    <x:row r="1" ht="26" customHeight="1">
      <x:c r="A1" s="4" t="str">
        <x:v>公開判定hard gate</x:v>
      </x:c>
      <x:c r="B1" s="4"/>
      <x:c r="C1" s="4"/>
      <x:c r="D1" s="4"/>
      <x:c r="E1" s="4"/>
      <x:c r="F1" s="4"/>
      <x:c r="G1" s="4"/>
      <x:c r="H1" s="4"/>
      <x:c r="I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30" customHeight="1">
      <x:c r="A3" s="8" t="str">
        <x:v>AI confidenceではなく、権利・単一restaurant・exact item・active revisionを全て満たした時だけexactとして公開する。計算式は編集可能なlive rule例。</x:v>
      </x:c>
      <x:c r="B3" s="8"/>
      <x:c r="C3" s="8"/>
      <x:c r="D3" s="8"/>
      <x:c r="E3" s="8"/>
      <x:c r="F3" s="8"/>
      <x:c r="G3" s="8"/>
      <x:c r="H3" s="8"/>
      <x:c r="I3" s="8"/>
    </x:row>
    <x:row r="5">
      <x:c r="A5" s="139" t="str">
        <x:v>判定matrix</x:v>
      </x:c>
      <x:c r="B5" s="139"/>
      <x:c r="C5" s="139"/>
      <x:c r="D5" s="139"/>
      <x:c r="E5" s="139"/>
      <x:c r="F5" s="139"/>
      <x:c r="G5" s="139"/>
      <x:c r="H5" s="139"/>
      <x:c r="I5" s="139"/>
    </x:row>
    <x:row r="6">
      <x:c r="A6" s="150" t="str">
        <x:v>Case</x:v>
      </x:c>
      <x:c r="B6" s="151" t="str">
        <x:v>権利valid</x:v>
      </x:c>
      <x:c r="C6" s="151" t="str">
        <x:v>restaurant verified</x:v>
      </x:c>
      <x:c r="D6" s="151" t="str">
        <x:v>dish verified</x:v>
      </x:c>
      <x:c r="E6" s="151" t="str">
        <x:v>revision active</x:v>
      </x:c>
      <x:c r="F6" s="151" t="str">
        <x:v>relation</x:v>
      </x:c>
      <x:c r="G6" s="151" t="str">
        <x:v>判定（formula）</x:v>
      </x:c>
      <x:c r="H6" s="151" t="str">
        <x:v>表示場所</x:v>
      </x:c>
      <x:c r="I6" s="152" t="str">
        <x:v>coverage区分</x:v>
      </x:c>
    </x:row>
    <x:row r="7" ht="44" customHeight="1">
      <x:c r="A7" s="158" t="str">
        <x:v>owner exact upload</x:v>
      </x:c>
      <x:c r="B7" s="158" t="str">
        <x:v>○</x:v>
      </x:c>
      <x:c r="C7" s="158" t="str">
        <x:v>○</x:v>
      </x:c>
      <x:c r="D7" s="158" t="str">
        <x:v>○</x:v>
      </x:c>
      <x:c r="E7" s="158" t="str">
        <x:v>○</x:v>
      </x:c>
      <x:c r="F7" s="158" t="str">
        <x:v>exact_item</x:v>
      </x:c>
      <x:c r="G7" s="158" t="str">
        <x:f>IF(B7&lt;&gt;"○","REJECT",IF(C7&lt;&gt;"○","CANDIDATE",IF(D7&lt;&gt;"○","CATEGORY_ONLY",IF(E7&lt;&gt;"○","ARCHIVE","PUBLISH_EXACT"))))</x:f>
        <x:v>PUBLISH_EXACT</x:v>
      </x:c>
      <x:c r="H7" s="158" t="str">
        <x:v>exact dish hero</x:v>
      </x:c>
      <x:c r="I7" s="158" t="str">
        <x:v>exact_owned</x:v>
      </x:c>
    </x:row>
    <x:row r="8" ht="44" customHeight="1">
      <x:c r="A8" s="159" t="str">
        <x:v>owner Instagram embed</x:v>
      </x:c>
      <x:c r="B8" s="159" t="str">
        <x:v>○</x:v>
      </x:c>
      <x:c r="C8" s="159" t="str">
        <x:v>○</x:v>
      </x:c>
      <x:c r="D8" s="159" t="str">
        <x:v>○</x:v>
      </x:c>
      <x:c r="E8" s="159" t="str">
        <x:v>○</x:v>
      </x:c>
      <x:c r="F8" s="159" t="str">
        <x:v>exact_item</x:v>
      </x:c>
      <x:c r="G8" s="159" t="str">
        <x:f>IF(B8&lt;&gt;"○","REJECT",IF(C8&lt;&gt;"○","CANDIDATE",IF(D8&lt;&gt;"○","CATEGORY_ONLY",IF(E8&lt;&gt;"○","ARCHIVE","PUBLISH_EXACT"))))</x:f>
        <x:v>PUBLISH_EXACT</x:v>
      </x:c>
      <x:c r="H8" s="159" t="str">
        <x:v>detail external</x:v>
      </x:c>
      <x:c r="I8" s="159" t="str">
        <x:v>exact_embed</x:v>
      </x:c>
    </x:row>
    <x:row r="9" ht="44" customHeight="1">
      <x:c r="A9" s="159" t="str">
        <x:v>restaurant UGC/category</x:v>
      </x:c>
      <x:c r="B9" s="159" t="str">
        <x:v>○</x:v>
      </x:c>
      <x:c r="C9" s="159" t="str">
        <x:v>○</x:v>
      </x:c>
      <x:c r="D9" s="159" t="str">
        <x:v>×</x:v>
      </x:c>
      <x:c r="E9" s="159" t="str">
        <x:v>○</x:v>
      </x:c>
      <x:c r="F9" s="159" t="str">
        <x:v>category_only</x:v>
      </x:c>
      <x:c r="G9" s="159" t="str">
        <x:f>IF(B9&lt;&gt;"○","REJECT",IF(C9&lt;&gt;"○","CANDIDATE",IF(D9&lt;&gt;"○","CATEGORY_ONLY",IF(E9&lt;&gt;"○","ARCHIVE","PUBLISH_EXACT"))))</x:f>
        <x:v>CATEGORY_ONLY</x:v>
      </x:c>
      <x:c r="H9" s="159" t="str">
        <x:v>category section</x:v>
      </x:c>
      <x:c r="I9" s="159" t="str">
        <x:v>restaurant_category</x:v>
      </x:c>
    </x:row>
    <x:row r="10" ht="44" customHeight="1">
      <x:c r="A10" s="159" t="str">
        <x:v>candidate official site</x:v>
      </x:c>
      <x:c r="B10" s="159" t="str">
        <x:v>×</x:v>
      </x:c>
      <x:c r="C10" s="159" t="str">
        <x:v>△</x:v>
      </x:c>
      <x:c r="D10" s="159" t="str">
        <x:v>△</x:v>
      </x:c>
      <x:c r="E10" s="159" t="str">
        <x:v>○</x:v>
      </x:c>
      <x:c r="F10" s="159" t="str">
        <x:v>candidate</x:v>
      </x:c>
      <x:c r="G10" s="159" t="str">
        <x:f>IF(B10&lt;&gt;"○","REJECT",IF(C10&lt;&gt;"○","CANDIDATE",IF(D10&lt;&gt;"○","CATEGORY_ONLY",IF(E10&lt;&gt;"○","ARCHIVE","PUBLISH_EXACT"))))</x:f>
        <x:v>REJECT</x:v>
      </x:c>
      <x:c r="H10" s="159" t="str">
        <x:v>非公開</x:v>
      </x:c>
      <x:c r="I10" s="159" t="str">
        <x:v>none</x:v>
      </x:c>
    </x:row>
    <x:row r="11" ht="44" customHeight="1">
      <x:c r="A11" s="159" t="str">
        <x:v>expired seasonal item</x:v>
      </x:c>
      <x:c r="B11" s="159" t="str">
        <x:v>○</x:v>
      </x:c>
      <x:c r="C11" s="159" t="str">
        <x:v>○</x:v>
      </x:c>
      <x:c r="D11" s="159" t="str">
        <x:v>○</x:v>
      </x:c>
      <x:c r="E11" s="159" t="str">
        <x:v>×</x:v>
      </x:c>
      <x:c r="F11" s="159" t="str">
        <x:v>exact_item</x:v>
      </x:c>
      <x:c r="G11" s="159" t="str">
        <x:f>IF(B11&lt;&gt;"○","REJECT",IF(C11&lt;&gt;"○","CANDIDATE",IF(D11&lt;&gt;"○","CATEGORY_ONLY",IF(E11&lt;&gt;"○","ARCHIVE","PUBLISH_EXACT"))))</x:f>
        <x:v>ARCHIVE</x:v>
      </x:c>
      <x:c r="H11" s="159" t="str">
        <x:v>archive</x:v>
      </x:c>
      <x:c r="I11" s="159" t="str">
        <x:v>none</x:v>
      </x:c>
    </x:row>
    <x:row r="12" ht="44" customHeight="1">
      <x:c r="A12" s="159" t="str">
        <x:v>unknown restaurant</x:v>
      </x:c>
      <x:c r="B12" s="159" t="str">
        <x:v>○</x:v>
      </x:c>
      <x:c r="C12" s="159" t="str">
        <x:v>×</x:v>
      </x:c>
      <x:c r="D12" s="159" t="str">
        <x:v>○</x:v>
      </x:c>
      <x:c r="E12" s="159" t="str">
        <x:v>○</x:v>
      </x:c>
      <x:c r="F12" s="159" t="str">
        <x:v>exact_item</x:v>
      </x:c>
      <x:c r="G12" s="159" t="str">
        <x:f>IF(B12&lt;&gt;"○","REJECT",IF(C12&lt;&gt;"○","CANDIDATE",IF(D12&lt;&gt;"○","CATEGORY_ONLY",IF(E12&lt;&gt;"○","ARCHIVE","PUBLISH_EXACT"))))</x:f>
        <x:v>CANDIDATE</x:v>
      </x:c>
      <x:c r="H12" s="159" t="str">
        <x:v>非公開</x:v>
      </x:c>
      <x:c r="I12" s="159" t="str">
        <x:v>none</x:v>
      </x:c>
    </x:row>
    <x:row r="13" ht="44" customHeight="1">
      <x:c r="A13" s="159" t="str">
        <x:v>rights revoked</x:v>
      </x:c>
      <x:c r="B13" s="159" t="str">
        <x:v>×</x:v>
      </x:c>
      <x:c r="C13" s="159" t="str">
        <x:v>○</x:v>
      </x:c>
      <x:c r="D13" s="159" t="str">
        <x:v>○</x:v>
      </x:c>
      <x:c r="E13" s="159" t="str">
        <x:v>○</x:v>
      </x:c>
      <x:c r="F13" s="159" t="str">
        <x:v>exact_item</x:v>
      </x:c>
      <x:c r="G13" s="159" t="str">
        <x:f>IF(B13&lt;&gt;"○","REJECT",IF(C13&lt;&gt;"○","CANDIDATE",IF(D13&lt;&gt;"○","CATEGORY_ONLY",IF(E13&lt;&gt;"○","ARCHIVE","PUBLISH_EXACT"))))</x:f>
        <x:v>REJECT</x:v>
      </x:c>
      <x:c r="H13" s="159" t="str">
        <x:v>takedown</x:v>
      </x:c>
      <x:c r="I13" s="159" t="str">
        <x:v>none</x:v>
      </x:c>
    </x:row>
    <x:row r="15">
      <x:c r="A15" s="139" t="str">
        <x:v>hard evidence一覧</x:v>
      </x:c>
      <x:c r="B15" s="139"/>
      <x:c r="C15" s="139"/>
      <x:c r="D15" s="139"/>
      <x:c r="E15" s="139"/>
      <x:c r="F15" s="139"/>
      <x:c r="G15" s="139"/>
      <x:c r="H15" s="139"/>
      <x:c r="I15" s="139"/>
    </x:row>
    <x:row r="16">
      <x:c r="A16" s="150" t="str">
        <x:v>Evidence</x:v>
      </x:c>
      <x:c r="B16" s="151" t="str">
        <x:v>支店</x:v>
      </x:c>
      <x:c r="C16" s="151" t="str">
        <x:v>料理</x:v>
      </x:c>
      <x:c r="D16" s="151" t="str">
        <x:v>権利</x:v>
      </x:c>
      <x:c r="E16" s="151" t="str">
        <x:v>自動publish</x:v>
      </x:c>
      <x:c r="F16" s="151" t="str">
        <x:v>追加確認</x:v>
      </x:c>
      <x:c r="G16" s="151" t="str">
        <x:v>失効条件</x:v>
      </x:c>
      <x:c r="H16" s="151" t="str">
        <x:v>audit</x:v>
      </x:c>
      <x:c r="I16" s="152" t="str">
        <x:v>備考</x:v>
      </x:c>
    </x:row>
    <x:row r="17" ht="44" customHeight="1">
      <x:c r="A17" s="158" t="str">
        <x:v>owner direct upload + consent</x:v>
      </x:c>
      <x:c r="B17" s="158" t="str">
        <x:v>○</x:v>
      </x:c>
      <x:c r="C17" s="158" t="str">
        <x:v>○</x:v>
      </x:c>
      <x:c r="D17" s="158" t="str">
        <x:v>○</x:v>
      </x:c>
      <x:c r="E17" s="158" t="str">
        <x:v>可</x:v>
      </x:c>
      <x:c r="F17" s="158" t="str">
        <x:v>第三者撮影者時</x:v>
      </x:c>
      <x:c r="G17" s="158" t="str">
        <x:v>owner revoke/契約終了</x:v>
      </x:c>
      <x:c r="H17" s="158" t="str">
        <x:v>consent version</x:v>
      </x:c>
      <x:c r="I17" s="158" t="str">
        <x:v>sessionでID固定</x:v>
      </x:c>
    </x:row>
    <x:row r="18" ht="44" customHeight="1">
      <x:c r="A18" s="159" t="str">
        <x:v>chain HQ signed feed</x:v>
      </x:c>
      <x:c r="B18" s="159" t="str">
        <x:v>○</x:v>
      </x:c>
      <x:c r="C18" s="159" t="str">
        <x:v>○</x:v>
      </x:c>
      <x:c r="D18" s="159" t="str">
        <x:v>○</x:v>
      </x:c>
      <x:c r="E18" s="159" t="str">
        <x:v>可</x:v>
      </x:c>
      <x:c r="F18" s="159" t="str">
        <x:v>location scope</x:v>
      </x:c>
      <x:c r="G18" s="159" t="str">
        <x:v>feed delete/契約終了</x:v>
      </x:c>
      <x:c r="H18" s="159" t="str">
        <x:v>feed revision</x:v>
      </x:c>
      <x:c r="I18" s="159" t="str">
        <x:v>全店を暗黙適用しない</x:v>
      </x:c>
    </x:row>
    <x:row r="19" ht="44" customHeight="1">
      <x:c r="A19" s="159" t="str">
        <x:v>POS item ID</x:v>
      </x:c>
      <x:c r="B19" s="159" t="str">
        <x:v>○</x:v>
      </x:c>
      <x:c r="C19" s="159" t="str">
        <x:v>○</x:v>
      </x:c>
      <x:c r="D19" s="159" t="str">
        <x:v>△</x:v>
      </x:c>
      <x:c r="E19" s="159" t="str">
        <x:v>不可</x:v>
      </x:c>
      <x:c r="F19" s="159" t="str">
        <x:v>owner rights + location</x:v>
      </x:c>
      <x:c r="G19" s="159" t="str">
        <x:v>OAuth revoke/item delete</x:v>
      </x:c>
      <x:c r="H19" s="159" t="str">
        <x:v>provider object ID</x:v>
      </x:c>
      <x:c r="I19" s="159" t="str">
        <x:v>stable keyとして有力</x:v>
      </x:c>
    </x:row>
    <x:row r="20" ht="44" customHeight="1">
      <x:c r="A20" s="159" t="str">
        <x:v>signed dish QR UGC</x:v>
      </x:c>
      <x:c r="B20" s="159" t="str">
        <x:v>○</x:v>
      </x:c>
      <x:c r="C20" s="159" t="str">
        <x:v>○</x:v>
      </x:c>
      <x:c r="D20" s="159" t="str">
        <x:v>○</x:v>
      </x:c>
      <x:c r="E20" s="159" t="str">
        <x:v>moderation後</x:v>
      </x:c>
      <x:c r="F20" s="159" t="str">
        <x:v>receipt/order proof</x:v>
      </x:c>
      <x:c r="G20" s="159" t="str">
        <x:v>投稿削除/menu終了</x:v>
      </x:c>
      <x:c r="H20" s="159" t="str">
        <x:v>nonce/signature</x:v>
      </x:c>
      <x:c r="I20" s="159" t="str">
        <x:v>GPSは補助</x:v>
      </x:c>
    </x:row>
    <x:row r="21" ht="44" customHeight="1">
      <x:c r="A21" s="159" t="str">
        <x:v>Instagram owner selection</x:v>
      </x:c>
      <x:c r="B21" s="159" t="str">
        <x:v>○</x:v>
      </x:c>
      <x:c r="C21" s="159" t="str">
        <x:v>○</x:v>
      </x:c>
      <x:c r="D21" s="159" t="str">
        <x:v>△</x:v>
      </x:c>
      <x:c r="E21" s="159" t="str">
        <x:v>不可</x:v>
      </x:c>
      <x:c r="F21" s="159" t="str">
        <x:v>display rights + oEmbed</x:v>
      </x:c>
      <x:c r="G21" s="159" t="str">
        <x:v>private/delete/embed off</x:v>
      </x:c>
      <x:c r="H21" s="159" t="str">
        <x:v>URL+consent</x:v>
      </x:c>
      <x:c r="I21" s="159" t="str">
        <x:v>external only</x:v>
      </x:c>
    </x:row>
    <x:row r="22" ht="44" customHeight="1">
      <x:c r="A22" s="159" t="str">
        <x:v>caption/OCR/vision/LLM</x:v>
      </x:c>
      <x:c r="B22" s="159" t="str">
        <x:v>×</x:v>
      </x:c>
      <x:c r="C22" s="159" t="str">
        <x:v>×</x:v>
      </x:c>
      <x:c r="D22" s="159" t="str">
        <x:v>×</x:v>
      </x:c>
      <x:c r="E22" s="159" t="str">
        <x:v>不可</x:v>
      </x:c>
      <x:c r="F22" s="159" t="str">
        <x:v>hard evidence全部</x:v>
      </x:c>
      <x:c r="G22" s="159" t="str">
        <x:v>常時candidate</x:v>
      </x:c>
      <x:c r="H22" s="159" t="str">
        <x:v>model output</x:v>
      </x:c>
      <x:c r="I22" s="159" t="str">
        <x:v>reject/triage専用</x:v>
      </x:c>
    </x:row>
    <x:row r="23" ht="44" customHeight="1">
      <x:c r="A23" s="159" t="str">
        <x:v>geofence/name/phone</x:v>
      </x:c>
      <x:c r="B23" s="159" t="str">
        <x:v>△</x:v>
      </x:c>
      <x:c r="C23" s="159" t="str">
        <x:v>×</x:v>
      </x:c>
      <x:c r="D23" s="159" t="str">
        <x:v>×</x:v>
      </x:c>
      <x:c r="E23" s="159" t="str">
        <x:v>不可</x:v>
      </x:c>
      <x:c r="F23" s="159" t="str">
        <x:v>owner/POS/GBP</x:v>
      </x:c>
      <x:c r="G23" s="159" t="str">
        <x:v>移転/同名</x:v>
      </x:c>
      <x:c r="H23" s="159" t="str">
        <x:v>match candidates</x:v>
      </x:c>
      <x:c r="I23" s="159" t="str">
        <x:v>entity候補専用</x:v>
      </x:c>
    </x:row>
    <x:row r="25">
      <x:c r="A25" s="139" t="str">
        <x:v>DB/API invariants</x:v>
      </x:c>
      <x:c r="B25" s="139"/>
      <x:c r="C25" s="139"/>
      <x:c r="D25" s="139"/>
      <x:c r="E25" s="139"/>
      <x:c r="F25" s="139"/>
      <x:c r="G25" s="139"/>
      <x:c r="H25" s="139"/>
      <x:c r="I25" s="139"/>
    </x:row>
    <x:row r="26">
      <x:c r="A26" s="150" t="str">
        <x:v>ID</x:v>
      </x:c>
      <x:c r="B26" s="151" t="str">
        <x:v>Invariant</x:v>
      </x:c>
      <x:c r="C26" s="151" t="str">
        <x:v>Enforcement</x:v>
      </x:c>
      <x:c r="D26" s="151" t="str">
        <x:v>検知時</x:v>
      </x:c>
      <x:c r="E26" s="151" t="str">
        <x:v>例外</x:v>
      </x:c>
      <x:c r="F26" s="151" t="str">
        <x:v>理由</x:v>
      </x:c>
      <x:c r="G26" s="151" t="str">
        <x:v>Test</x:v>
      </x:c>
      <x:c r="H26" s="151" t="str">
        <x:v>監視</x:v>
      </x:c>
      <x:c r="I26" s="152" t="str">
        <x:v>Owner</x:v>
      </x:c>
    </x:row>
    <x:row r="27" ht="44" customHeight="1">
      <x:c r="A27" s="158" t="str">
        <x:v>INV-01</x:v>
      </x:c>
      <x:c r="B27" s="158" t="str">
        <x:v>menu_item.restaurant_id = verified restaurant claim</x:v>
      </x:c>
      <x:c r="C27" s="158" t="str">
        <x:v>transaction + FK/service check</x:v>
      </x:c>
      <x:c r="D27" s="158" t="str">
        <x:v>reject</x:v>
      </x:c>
      <x:c r="E27" s="158" t="str">
        <x:v>なし</x:v>
      </x:c>
      <x:c r="F27" s="158" t="str">
        <x:v>他店事故防止</x:v>
      </x:c>
      <x:c r="G27" s="158" t="str">
        <x:v>cross-store fixture</x:v>
      </x:c>
      <x:c r="H27" s="158" t="str">
        <x:v>error count</x:v>
      </x:c>
      <x:c r="I27" s="158" t="str">
        <x:v>DB/API</x:v>
      </x:c>
    </x:row>
    <x:row r="28" ht="44" customHeight="1">
      <x:c r="A28" s="159" t="str">
        <x:v>INV-02</x:v>
      </x:c>
      <x:c r="B28" s="159" t="str">
        <x:v>confidence scoreだけでpublishedへ遷移しない</x:v>
      </x:c>
      <x:c r="C28" s="159" t="str">
        <x:v>state machine</x:v>
      </x:c>
      <x:c r="D28" s="159" t="str">
        <x:v>candidate維持</x:v>
      </x:c>
      <x:c r="E28" s="159" t="str">
        <x:v>なし</x:v>
      </x:c>
      <x:c r="F28" s="159" t="str">
        <x:v>AI誤判定対策</x:v>
      </x:c>
      <x:c r="G28" s="159" t="str">
        <x:v>mutation test</x:v>
      </x:c>
      <x:c r="H28" s="159" t="str">
        <x:v>state transition</x:v>
      </x:c>
      <x:c r="I28" s="159" t="str">
        <x:v>API</x:v>
      </x:c>
    </x:row>
    <x:row r="29" ht="44" customHeight="1">
      <x:c r="A29" s="159" t="str">
        <x:v>INV-03</x:v>
      </x:c>
      <x:c r="B29" s="159" t="str">
        <x:v>null chain scopeを全店と解釈しない</x:v>
      </x:c>
      <x:c r="C29" s="159" t="str">
        <x:v>NOT NULL enum + join table</x:v>
      </x:c>
      <x:c r="D29" s="159" t="str">
        <x:v>reject</x:v>
      </x:c>
      <x:c r="E29" s="159" t="str">
        <x:v>契約で明示</x:v>
      </x:c>
      <x:c r="F29" s="159" t="str">
        <x:v>支店誤表示防止</x:v>
      </x:c>
      <x:c r="G29" s="159" t="str">
        <x:v>chain cases</x:v>
      </x:c>
      <x:c r="H29" s="159" t="str">
        <x:v>scope null</x:v>
      </x:c>
      <x:c r="I29" s="159" t="str">
        <x:v>DB</x:v>
      </x:c>
    </x:row>
    <x:row r="30" ht="44" customHeight="1">
      <x:c r="A30" s="159" t="str">
        <x:v>INV-04</x:v>
      </x:c>
      <x:c r="B30" s="159" t="str">
        <x:v>別restaurantの同一/pHash近似をblock</x:v>
      </x:c>
      <x:c r="C30" s="159" t="str">
        <x:v>dedupe check</x:v>
      </x:c>
      <x:c r="D30" s="159" t="str">
        <x:v>review queue</x:v>
      </x:c>
      <x:c r="E30" s="159" t="str">
        <x:v>licensed chain asset</x:v>
      </x:c>
      <x:c r="F30" s="159" t="str">
        <x:v>転載・誤紐付け検知</x:v>
      </x:c>
      <x:c r="G30" s="159" t="str">
        <x:v>duplicate corpus</x:v>
      </x:c>
      <x:c r="H30" s="159" t="str">
        <x:v>cross-store dupes</x:v>
      </x:c>
      <x:c r="I30" s="159" t="str">
        <x:v>Media</x:v>
      </x:c>
    </x:row>
    <x:row r="31" ht="44" customHeight="1">
      <x:c r="A31" s="159" t="str">
        <x:v>INV-05</x:v>
      </x:c>
      <x:c r="B31" s="159" t="str">
        <x:v>inactive revision/asset/rightsはpublic queryから除外</x:v>
      </x:c>
      <x:c r="C31" s="159" t="str">
        <x:v>resolver predicate</x:v>
      </x:c>
      <x:c r="D31" s="159" t="str">
        <x:v>archive/takedown</x:v>
      </x:c>
      <x:c r="E31" s="159" t="str">
        <x:v>なし</x:v>
      </x:c>
      <x:c r="F31" s="159" t="str">
        <x:v>古いmenu・削除対応</x:v>
      </x:c>
      <x:c r="G31" s="159" t="str">
        <x:v>time travel test</x:v>
      </x:c>
      <x:c r="H31" s="159" t="str">
        <x:v>stale public</x:v>
      </x:c>
      <x:c r="I31" s="159" t="str">
        <x:v>API</x:v>
      </x:c>
    </x:row>
    <x:row r="32" ht="44" customHeight="1">
      <x:c r="A32" s="159" t="str">
        <x:v>INV-06</x:v>
      </x:c>
      <x:c r="B32" s="159" t="str">
        <x:v>全判断をappend-only auditへ記録</x:v>
      </x:c>
      <x:c r="C32" s="159" t="str">
        <x:v>audit event</x:v>
      </x:c>
      <x:c r="D32" s="159" t="str">
        <x:v>publish block</x:v>
      </x:c>
      <x:c r="E32" s="159" t="str">
        <x:v>なし</x:v>
      </x:c>
      <x:c r="F32" s="159" t="str">
        <x:v>説明責任</x:v>
      </x:c>
      <x:c r="G32" s="159" t="str">
        <x:v>completeness test</x:v>
      </x:c>
      <x:c r="H32" s="159" t="str">
        <x:v>missing evidence</x:v>
      </x:c>
      <x:c r="I32" s="159" t="str">
        <x:v>Platform</x:v>
      </x:c>
    </x:row>
  </x:sheetData>
  <x:mergeCells>
    <x:mergeCell ref="A1:I2"/>
    <x:mergeCell ref="A3:I3"/>
    <x:mergeCell ref="A5:I5"/>
    <x:mergeCell ref="A15:I15"/>
    <x:mergeCell ref="A25:I25"/>
  </x:mergeCells>
  <x:conditionalFormatting sqref="G7:G13">
    <x:cfRule type="containsText" dxfId="7" priority="1" operator="containsText" text="PUBLISH_EXACT"/>
    <x:cfRule type="containsText" dxfId="8" priority="2" operator="containsText" text="REJECT"/>
    <x:cfRule type="containsText" dxfId="9" priority="3" operator="containsText" text="CANDIDATE"/>
  </x:conditionalFormatting>
  <x:pageMargins left="0.7" right="0.7" top="0.75" bottom="0.75" header="0.3" footer="0.3"/>
  <x:tableParts count="3">
    <x:tablePart xmlns:r="http://schemas.openxmlformats.org/officeDocument/2006/relationships" r:id="R9fa926704897453a"/>
    <x:tablePart xmlns:r="http://schemas.openxmlformats.org/officeDocument/2006/relationships" r:id="Rc9eb1244019c49ef"/>
    <x:tablePart xmlns:r="http://schemas.openxmlformats.org/officeDocument/2006/relationships" r:id="Rc4826e07a20d4a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36" hidden="0" customWidth="1"/>
    <x:col min="4" max="4" width="28" hidden="0" customWidth="1"/>
    <x:col min="5" max="5" width="29" hidden="0" customWidth="1"/>
    <x:col min="6" max="6" width="25" hidden="0" customWidth="1"/>
    <x:col min="7" max="7" width="39" hidden="0" customWidth="1"/>
  </x:cols>
  <x:sheetData>
    <x:row r="1" ht="26" customHeight="1">
      <x:c r="A1" s="4" t="str">
        <x:v>推奨データモデル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3" ht="30" customHeight="1">
      <x:c r="A3" s="8" t="str">
        <x:v>binary / external embed / placeholderと、restaurant・menu itemへのclaimを分離する。現行dish_mediaへURL種別を混在させない。</x:v>
      </x:c>
      <x:c r="B3" s="8"/>
      <x:c r="C3" s="8"/>
      <x:c r="D3" s="8"/>
      <x:c r="E3" s="8"/>
      <x:c r="F3" s="8"/>
      <x:c r="G3" s="8"/>
    </x:row>
    <x:row r="5">
      <x:c r="A5" s="139" t="str">
        <x:v>Entity一覧</x:v>
      </x:c>
      <x:c r="B5" s="139"/>
      <x:c r="C5" s="139"/>
      <x:c r="D5" s="139"/>
      <x:c r="E5" s="139"/>
      <x:c r="F5" s="139"/>
      <x:c r="G5" s="139"/>
    </x:row>
    <x:row r="6">
      <x:c r="A6" s="150" t="str">
        <x:v>Entity</x:v>
      </x:c>
      <x:c r="B6" s="151" t="str">
        <x:v>役割</x:v>
      </x:c>
      <x:c r="C6" s="151" t="str">
        <x:v>主key/field</x:v>
      </x:c>
      <x:c r="D6" s="151" t="str">
        <x:v>state</x:v>
      </x:c>
      <x:c r="E6" s="151" t="str">
        <x:v>必須証拠</x:v>
      </x:c>
      <x:c r="F6" s="151" t="str">
        <x:v>公開条件</x:v>
      </x:c>
      <x:c r="G6" s="152" t="str">
        <x:v>現行との関係</x:v>
      </x:c>
    </x:row>
    <x:row r="7" ht="48" customHeight="1">
      <x:c r="A7" s="158" t="str">
        <x:v>restaurant_dish_categories</x:v>
      </x:c>
      <x:c r="B7" s="158" t="str">
        <x:v>店舗×料理category</x:v>
      </x:c>
      <x:c r="C7" s="158" t="str">
        <x:v>restaurant_id, category_id</x:v>
      </x:c>
      <x:c r="D7" s="158" t="str">
        <x:v>active/inactive</x:v>
      </x:c>
      <x:c r="E7" s="158" t="str">
        <x:v>restaurant</x:v>
      </x:c>
      <x:c r="F7" s="158" t="str">
        <x:v>category表示のみ</x:v>
      </x:c>
      <x:c r="G7" s="158" t="str">
        <x:v>現行dishes相当</x:v>
      </x:c>
    </x:row>
    <x:row r="8" ht="48" customHeight="1">
      <x:c r="A8" s="159" t="str">
        <x:v>menu_items</x:v>
      </x:c>
      <x:c r="B8" s="159" t="str">
        <x:v>exact商品identity</x:v>
      </x:c>
      <x:c r="C8" s="159" t="str">
        <x:v>restaurant_id, source_kind, source_item_id</x:v>
      </x:c>
      <x:c r="D8" s="159" t="str">
        <x:v>active/discontinued</x:v>
      </x:c>
      <x:c r="E8" s="159" t="str">
        <x:v>owner/POS item ID</x:v>
      </x:c>
      <x:c r="F8" s="159" t="str">
        <x:v>active</x:v>
      </x:c>
      <x:c r="G8" s="159" t="str">
        <x:v>新設</x:v>
      </x:c>
    </x:row>
    <x:row r="9" ht="48" customHeight="1">
      <x:c r="A9" s="159" t="str">
        <x:v>menu_item_revisions</x:v>
      </x:c>
      <x:c r="B9" s="159" t="str">
        <x:v>名前/価格/提供期間の版</x:v>
      </x:c>
      <x:c r="C9" s="159" t="str">
        <x:v>menu_item_id, valid_from/to</x:v>
      </x:c>
      <x:c r="D9" s="159" t="str">
        <x:v>draft/active/expired</x:v>
      </x:c>
      <x:c r="E9" s="159" t="str">
        <x:v>owner/Feed revision</x:v>
      </x:c>
      <x:c r="F9" s="159" t="str">
        <x:v>current revision</x:v>
      </x:c>
      <x:c r="G9" s="159" t="str">
        <x:v>新設</x:v>
      </x:c>
    </x:row>
    <x:row r="10" ht="48" customHeight="1">
      <x:c r="A10" s="159" t="str">
        <x:v>media_assets</x:v>
      </x:c>
      <x:c r="B10" s="159" t="str">
        <x:v>画像/embed/live/placeholderの実体</x:v>
      </x:c>
      <x:c r="C10" s="159" t="str">
        <x:v>asset_kind, provider, canonical URL/path, hash</x:v>
      </x:c>
      <x:c r="D10" s="159" t="str">
        <x:v>candidate/active/unavailable/rejected/removed</x:v>
      </x:c>
      <x:c r="E10" s="159" t="str">
        <x:v>rights metadata</x:v>
      </x:c>
      <x:c r="F10" s="159" t="str">
        <x:v>active + rights valid</x:v>
      </x:c>
      <x:c r="G10" s="159" t="str">
        <x:v>dish_mediaを拡張/置換</x:v>
      </x:c>
    </x:row>
    <x:row r="11" ht="48" customHeight="1">
      <x:c r="A11" s="159" t="str">
        <x:v>media_restaurant_claims</x:v>
      </x:c>
      <x:c r="B11" s="159" t="str">
        <x:v>assetの支店scope</x:v>
      </x:c>
      <x:c r="C11" s="159" t="str">
        <x:v>asset_id, restaurant_id, scope</x:v>
      </x:c>
      <x:c r="D11" s="159" t="str">
        <x:v>candidate/verified/rejected</x:v>
      </x:c>
      <x:c r="E11" s="159" t="str">
        <x:v>owner/HQ/POS/GBP/QR</x:v>
      </x:c>
      <x:c r="F11" s="159" t="str">
        <x:v>verified</x:v>
      </x:c>
      <x:c r="G11" s="159" t="str">
        <x:v>新設</x:v>
      </x:c>
    </x:row>
    <x:row r="12" ht="48" customHeight="1">
      <x:c r="A12" s="159" t="str">
        <x:v>media_menu_item_claims</x:v>
      </x:c>
      <x:c r="B12" s="159" t="str">
        <x:v>assetとexact item/revisionの関係</x:v>
      </x:c>
      <x:c r="C12" s="159" t="str">
        <x:v>asset_id, menu_item_id, relation</x:v>
      </x:c>
      <x:c r="D12" s="159" t="str">
        <x:v>candidate/verified/rejected</x:v>
      </x:c>
      <x:c r="E12" s="159" t="str">
        <x:v>owner/POS/QR</x:v>
      </x:c>
      <x:c r="F12" s="159" t="str">
        <x:v>verified exact</x:v>
      </x:c>
      <x:c r="G12" s="159" t="str">
        <x:v>新設</x:v>
      </x:c>
    </x:row>
    <x:row r="13" ht="48" customHeight="1">
      <x:c r="A13" s="159" t="str">
        <x:v>external_embeds</x:v>
      </x:c>
      <x:c r="B13" s="159" t="str">
        <x:v>provider widgetの状態</x:v>
      </x:c>
      <x:c r="C13" s="159" t="str">
        <x:v>provider, canonical_content_url, last_checked</x:v>
      </x:c>
      <x:c r="D13" s="159" t="str">
        <x:v>active/unavailable/removed</x:v>
      </x:c>
      <x:c r="E13" s="159" t="str">
        <x:v>official oEmbed</x:v>
      </x:c>
      <x:c r="F13" s="159" t="str">
        <x:v>provider active</x:v>
      </x:c>
      <x:c r="G13" s="159" t="str">
        <x:v>新設</x:v>
      </x:c>
    </x:row>
    <x:row r="14" ht="48" customHeight="1">
      <x:c r="A14" s="159" t="str">
        <x:v>media_audit_events</x:v>
      </x:c>
      <x:c r="B14" s="159" t="str">
        <x:v>判断と証拠の履歴</x:v>
      </x:c>
      <x:c r="C14" s="159" t="str">
        <x:v>actor, event, evidence, timestamp</x:v>
      </x:c>
      <x:c r="D14" s="159" t="str">
        <x:v>append-only</x:v>
      </x:c>
      <x:c r="E14" s="159" t="str">
        <x:v>全state transition</x:v>
      </x:c>
      <x:c r="F14" s="159" t="str">
        <x:v>直接表示しない</x:v>
      </x:c>
      <x:c r="G14" s="159" t="str">
        <x:v>新設</x:v>
      </x:c>
    </x:row>
    <x:row r="16">
      <x:c r="A16" s="139" t="str">
        <x:v>asset_kind別renderer</x:v>
      </x:c>
      <x:c r="B16" s="139"/>
      <x:c r="C16" s="139"/>
      <x:c r="D16" s="139"/>
      <x:c r="E16" s="139"/>
      <x:c r="F16" s="139"/>
      <x:c r="G16" s="139"/>
    </x:row>
    <x:row r="17">
      <x:c r="A17" s="150" t="str">
        <x:v>asset_kind</x:v>
      </x:c>
      <x:c r="B17" s="151" t="str">
        <x:v>実体</x:v>
      </x:c>
      <x:c r="C17" s="151" t="str">
        <x:v>自社storage</x:v>
      </x:c>
      <x:c r="D17" s="151" t="str">
        <x:v>renderer</x:v>
      </x:c>
      <x:c r="E17" s="151" t="str">
        <x:v>一覧card</x:v>
      </x:c>
      <x:c r="F17" s="151" t="str">
        <x:v>exact coverage</x:v>
      </x:c>
      <x:c r="G17" s="152" t="str">
        <x:v>failure fallback</x:v>
      </x:c>
    </x:row>
    <x:row r="18" ht="42" customHeight="1">
      <x:c r="A18" s="158" t="str">
        <x:v>owned_image</x:v>
      </x:c>
      <x:c r="B18" s="158" t="str">
        <x:v>許諾済binary</x:v>
      </x:c>
      <x:c r="C18" s="158" t="str">
        <x:v>必須</x:v>
      </x:c>
      <x:c r="D18" s="158" t="str">
        <x:v>native image/CDN</x:v>
      </x:c>
      <x:c r="E18" s="158" t="str">
        <x:v>可</x:v>
      </x:c>
      <x:c r="F18" s="158" t="str">
        <x:v>exact_owned</x:v>
      </x:c>
      <x:c r="G18" s="158" t="str">
        <x:v>placeholder</x:v>
      </x:c>
    </x:row>
    <x:row r="19" ht="42" customHeight="1">
      <x:c r="A19" s="159" t="str">
        <x:v>external_embed</x:v>
      </x:c>
      <x:c r="B19" s="159" t="str">
        <x:v>canonical content URL</x:v>
      </x:c>
      <x:c r="C19" s="159" t="str">
        <x:v>binary保存禁止</x:v>
      </x:c>
      <x:c r="D19" s="159" t="str">
        <x:v>provider embed/WebView</x:v>
      </x:c>
      <x:c r="E19" s="159" t="str">
        <x:v>原則不可</x:v>
      </x:c>
      <x:c r="F19" s="159" t="str">
        <x:v>exact_embed</x:v>
      </x:c>
      <x:c r="G19" s="159" t="str">
        <x:v>owned/category/placeholder</x:v>
      </x:c>
    </x:row>
    <x:row r="20" ht="42" customHeight="1">
      <x:c r="A20" s="159" t="str">
        <x:v>external_live</x:v>
      </x:c>
      <x:c r="B20" s="159" t="str">
        <x:v>provider APIのlive data</x:v>
      </x:c>
      <x:c r="C20" s="159" t="str">
        <x:v>規約TTLのみ</x:v>
      </x:c>
      <x:c r="D20" s="159" t="str">
        <x:v>provider-specific</x:v>
      </x:c>
      <x:c r="E20" s="159" t="str">
        <x:v>条件付き</x:v>
      </x:c>
      <x:c r="F20" s="159" t="str">
        <x:v>別集計</x:v>
      </x:c>
      <x:c r="G20" s="159" t="str">
        <x:v>placeholder</x:v>
      </x:c>
    </x:row>
    <x:row r="21" ht="42" customHeight="1">
      <x:c r="A21" s="159" t="str">
        <x:v>category_image</x:v>
      </x:c>
      <x:c r="B21" s="159" t="str">
        <x:v>restaurant-category UGC</x:v>
      </x:c>
      <x:c r="C21" s="159" t="str">
        <x:v>許諾時可</x:v>
      </x:c>
      <x:c r="D21" s="159" t="str">
        <x:v>native image</x:v>
      </x:c>
      <x:c r="E21" s="159" t="str">
        <x:v>category card</x:v>
      </x:c>
      <x:c r="F21" s="159" t="str">
        <x:v>restaurant_category</x:v>
      </x:c>
      <x:c r="G21" s="159" t="str">
        <x:v>placeholder</x:v>
      </x:c>
    </x:row>
    <x:row r="22" ht="42" customHeight="1">
      <x:c r="A22" s="159" t="str">
        <x:v>placeholder</x:v>
      </x:c>
      <x:c r="B22" s="159" t="str">
        <x:v>stock/生成/category asset</x:v>
      </x:c>
      <x:c r="C22" s="159" t="str">
        <x:v>可</x:v>
      </x:c>
      <x:c r="D22" s="159" t="str">
        <x:v>native image</x:v>
      </x:c>
      <x:c r="E22" s="159" t="str">
        <x:v>可</x:v>
      </x:c>
      <x:c r="F22" s="159" t="str">
        <x:v>nonblankのみ</x:v>
      </x:c>
      <x:c r="G22" s="159" t="str">
        <x:v>色/アイコン</x:v>
      </x:c>
    </x:row>
    <x:row r="24">
      <x:c r="A24" s="139" t="str">
        <x:v>migration mapping</x:v>
      </x:c>
      <x:c r="B24" s="139"/>
      <x:c r="C24" s="139"/>
      <x:c r="D24" s="139"/>
      <x:c r="E24" s="139"/>
      <x:c r="F24" s="139"/>
      <x:c r="G24" s="139"/>
    </x:row>
    <x:row r="25">
      <x:c r="A25" s="150" t="str">
        <x:v>現行</x:v>
      </x:c>
      <x:c r="B25" s="151" t="str">
        <x:v>判定</x:v>
      </x:c>
      <x:c r="C25" s="151" t="str">
        <x:v>移行先</x:v>
      </x:c>
      <x:c r="D25" s="151" t="str">
        <x:v>relation</x:v>
      </x:c>
      <x:c r="E25" s="151" t="str">
        <x:v>初期status</x:v>
      </x:c>
      <x:c r="F25" s="151" t="str">
        <x:v>公開</x:v>
      </x:c>
      <x:c r="G25" s="152" t="str">
        <x:v>作業</x:v>
      </x:c>
    </x:row>
    <x:row r="26" ht="48" customHeight="1">
      <x:c r="A26" s="158" t="str">
        <x:v>user_idありdish_media</x:v>
      </x:c>
      <x:c r="B26" s="158" t="str">
        <x:v>restaurant/category投稿</x:v>
      </x:c>
      <x:c r="C26" s="158" t="str">
        <x:v>media_assets + restaurant/category claim</x:v>
      </x:c>
      <x:c r="D26" s="158" t="str">
        <x:v>category_only</x:v>
      </x:c>
      <x:c r="E26" s="158" t="str">
        <x:v>candidate/verifiedを再判定</x:v>
      </x:c>
      <x:c r="F26" s="158" t="str">
        <x:v>category面のみ</x:v>
      </x:c>
      <x:c r="G26" s="158" t="str">
        <x:v>投稿session・metadata監査</x:v>
      </x:c>
    </x:row>
    <x:row r="27" ht="48" customHeight="1">
      <x:c r="A27" s="159" t="str">
        <x:v>google-maps/photo path</x:v>
      </x:c>
      <x:c r="B27" s="159" t="str">
        <x:v>Google import</x:v>
      </x:c>
      <x:c r="C27" s="159" t="str">
        <x:v>quarantine inventory</x:v>
      </x:c>
      <x:c r="D27" s="159" t="str">
        <x:v>unknown/category_candidate</x:v>
      </x:c>
      <x:c r="E27" s="159" t="str">
        <x:v>candidate</x:v>
      </x:c>
      <x:c r="F27" s="159" t="str">
        <x:v>exact面は不可</x:v>
      </x:c>
      <x:c r="G27" s="159" t="str">
        <x:v>規約/権利/削除確認</x:v>
      </x:c>
    </x:row>
    <x:row r="28" ht="48" customHeight="1">
      <x:c r="A28" s="159" t="str">
        <x:v>source不明path</x:v>
      </x:c>
      <x:c r="B28" s="159" t="str">
        <x:v>provenance不明</x:v>
      </x:c>
      <x:c r="C28" s="159" t="str">
        <x:v>unknown_provenance</x:v>
      </x:c>
      <x:c r="D28" s="159" t="str">
        <x:v>unknown</x:v>
      </x:c>
      <x:c r="E28" s="159" t="str">
        <x:v>candidate</x:v>
      </x:c>
      <x:c r="F28" s="159" t="str">
        <x:v>非公開</x:v>
      </x:c>
      <x:c r="G28" s="159" t="str">
        <x:v>hash・作成job・log調査</x:v>
      </x:c>
    </x:row>
    <x:row r="29" ht="48" customHeight="1">
      <x:c r="A29" s="159" t="str">
        <x:v>dish_categories.image_url</x:v>
      </x:c>
      <x:c r="B29" s="159" t="str">
        <x:v>category asset</x:v>
      </x:c>
      <x:c r="C29" s="159" t="str">
        <x:v>placeholder/category_asset</x:v>
      </x:c>
      <x:c r="D29" s="159" t="str">
        <x:v>illustrative</x:v>
      </x:c>
      <x:c r="E29" s="159" t="str">
        <x:v>active</x:v>
      </x:c>
      <x:c r="F29" s="159" t="str">
        <x:v>イメージ表示</x:v>
      </x:c>
      <x:c r="G29" s="159" t="str">
        <x:v>exact coverageから除外</x:v>
      </x:c>
    </x:row>
    <x:row r="30" ht="48" customHeight="1">
      <x:c r="A30" s="159" t="str">
        <x:v>将来Instagram URL</x:v>
      </x:c>
      <x:c r="B30" s="159" t="str">
        <x:v>external widget</x:v>
      </x:c>
      <x:c r="C30" s="159" t="str">
        <x:v>external_embeds</x:v>
      </x:c>
      <x:c r="D30" s="159" t="str">
        <x:v>owner-selected</x:v>
      </x:c>
      <x:c r="E30" s="159" t="str">
        <x:v>candidate→active</x:v>
      </x:c>
      <x:c r="F30" s="159" t="str">
        <x:v>detailのみ</x:v>
      </x:c>
      <x:c r="G30" s="159" t="str">
        <x:v>binary pathと混在させない</x:v>
      </x:c>
    </x:row>
  </x:sheetData>
  <x:mergeCells>
    <x:mergeCell ref="A1:G2"/>
    <x:mergeCell ref="A3:G3"/>
    <x:mergeCell ref="A5:G5"/>
    <x:mergeCell ref="A16:G16"/>
    <x:mergeCell ref="A24:G24"/>
  </x:mergeCells>
  <x:pageMargins left="0.7" right="0.7" top="0.75" bottom="0.75" header="0.3" footer="0.3"/>
  <x:tableParts count="3">
    <x:tablePart xmlns:r="http://schemas.openxmlformats.org/officeDocument/2006/relationships" r:id="Rbbc6151473004ac4"/>
    <x:tablePart xmlns:r="http://schemas.openxmlformats.org/officeDocument/2006/relationships" r:id="R66a29fce780c4b8f"/>
    <x:tablePart xmlns:r="http://schemas.openxmlformats.org/officeDocument/2006/relationships" r:id="R7a3a95ec719a4e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4" hidden="0" customWidth="1"/>
    <x:col min="8" max="8" width="12" hidden="0" customWidth="1"/>
    <x:col min="9" max="9" width="27" hidden="0" customWidth="1"/>
  </x:cols>
  <x:sheetData>
    <x:row r="1" ht="26" customHeight="1">
      <x:c r="A1" s="4" t="str">
        <x:v>dish_media POC計画</x:v>
      </x:c>
      <x:c r="B1" s="4"/>
      <x:c r="C1" s="4"/>
      <x:c r="D1" s="4"/>
      <x:c r="E1" s="4"/>
      <x:c r="F1" s="4"/>
      <x:c r="G1" s="4"/>
      <x:c r="H1" s="4"/>
      <x:c r="I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30" customHeight="1">
      <x:c r="A3" s="8" t="str">
        <x:v>coverageとprecisionを分離して測る。他restaurant誤紐付けは1件でもrelease block。provider fee 0円の実用性と運用工数も記録する。</x:v>
      </x:c>
      <x:c r="B3" s="8"/>
      <x:c r="C3" s="8"/>
      <x:c r="D3" s="8"/>
      <x:c r="E3" s="8"/>
      <x:c r="F3" s="8"/>
      <x:c r="G3" s="8"/>
      <x:c r="H3" s="8"/>
      <x:c r="I3" s="8"/>
    </x:row>
    <x:row r="5">
      <x:c r="A5" s="139" t="str">
        <x:v>cohort</x:v>
      </x:c>
      <x:c r="B5" s="139"/>
      <x:c r="C5" s="139"/>
      <x:c r="D5" s="139"/>
      <x:c r="E5" s="139"/>
      <x:c r="F5" s="139"/>
      <x:c r="G5" s="139"/>
      <x:c r="H5" s="139"/>
      <x:c r="I5" s="139"/>
    </x:row>
    <x:row r="6">
      <x:c r="A6" s="150" t="str">
        <x:v>Cohort</x:v>
      </x:c>
      <x:c r="B6" s="151" t="str">
        <x:v>店舗数</x:v>
      </x:c>
      <x:c r="C6" s="151" t="str">
        <x:v>item/post数</x:v>
      </x:c>
      <x:c r="D6" s="151" t="str">
        <x:v>主目的</x:v>
      </x:c>
      <x:c r="E6" s="151" t="str">
        <x:v>hard evidence</x:v>
      </x:c>
      <x:c r="F6" s="151" t="str">
        <x:v>計測</x:v>
      </x:c>
      <x:c r="G6" s="151" t="str">
        <x:v>合格条件</x:v>
      </x:c>
      <x:c r="H6" s="151" t="str">
        <x:v>想定edge</x:v>
      </x:c>
      <x:c r="I6" s="152" t="str">
        <x:v>成果</x:v>
      </x:c>
    </x:row>
    <x:row r="7" ht="46" customHeight="1">
      <x:c r="A7" s="158" t="str">
        <x:v>owner direct upload</x:v>
      </x:c>
      <x:c r="B7" s="198" t="n">
        <x:v>10</x:v>
      </x:c>
      <x:c r="C7" s="198" t="n">
        <x:v>100</x:v>
      </x:c>
      <x:c r="D7" s="158" t="str">
        <x:v>権利・登録UX</x:v>
      </x:c>
      <x:c r="E7" s="158" t="str">
        <x:v>owner session + item + consent</x:v>
      </x:c>
      <x:c r="F7" s="158" t="str">
        <x:v>所要時間/離脱/画像品質</x:v>
      </x:c>
      <x:c r="G7" s="158" t="str">
        <x:v>public 100% evidence complete</x:v>
      </x:c>
      <x:c r="H7" s="158" t="str">
        <x:v>第三者撮影/古いmenu</x:v>
      </x:c>
      <x:c r="I7" s="158" t="str">
        <x:v>default flow</x:v>
      </x:c>
    </x:row>
    <x:row r="8" ht="46" customHeight="1">
      <x:c r="A8" s="159" t="str">
        <x:v>Square OAuth</x:v>
      </x:c>
      <x:c r="B8" s="199" t="n">
        <x:v>8</x:v>
      </x:c>
      <x:c r="C8" s="199" t="n">
        <x:v>100</x:v>
      </x:c>
      <x:c r="D8" s="159" t="str">
        <x:v>stable item/location</x:v>
      </x:c>
      <x:c r="E8" s="159" t="str">
        <x:v>seller OAuth + mapping</x:v>
      </x:c>
      <x:c r="F8" s="159" t="str">
        <x:v>sync精度/差分/rights</x:v>
      </x:c>
      <x:c r="G8" s="159" t="str">
        <x:v>誤支店0、item precision 100%</x:v>
      </x:c>
      <x:c r="H8" s="159" t="str">
        <x:v>全店item/variation</x:v>
      </x:c>
      <x:c r="I8" s="159" t="str">
        <x:v>connector判断</x:v>
      </x:c>
    </x:row>
    <x:row r="9" ht="46" customHeight="1">
      <x:c r="A9" s="159" t="str">
        <x:v>Instagram oEmbed</x:v>
      </x:c>
      <x:c r="B9" s="199" t="n">
        <x:v>10</x:v>
      </x:c>
      <x:c r="C9" s="199" t="n">
        <x:v>100</x:v>
      </x:c>
      <x:c r="D9" s="159" t="str">
        <x:v>owner exact選択+表示</x:v>
      </x:c>
      <x:c r="E9" s="159" t="str">
        <x:v>owner + item + URL</x:v>
      </x:c>
      <x:c r="F9" s="159" t="str">
        <x:v>availability/WebView/削除</x:v>
      </x:c>
      <x:c r="G9" s="159" t="str">
        <x:v>誤支店0、owner確認100%</x:v>
      </x:c>
      <x:c r="H9" s="159" t="str">
        <x:v>corporate/carousel/repost</x:v>
      </x:c>
      <x:c r="I9" s="159" t="str">
        <x:v>external flow</x:v>
      </x:c>
    </x:row>
    <x:row r="10" ht="46" customHeight="1">
      <x:c r="A10" s="159" t="str">
        <x:v>signed QR UGC</x:v>
      </x:c>
      <x:c r="B10" s="199" t="n">
        <x:v>10</x:v>
      </x:c>
      <x:c r="C10" s="199" t="n">
        <x:v>300</x:v>
      </x:c>
      <x:c r="D10" s="159" t="str">
        <x:v>long-tail exact UGC</x:v>
      </x:c>
      <x:c r="E10" s="159" t="str">
        <x:v>signed IDs + proof</x:v>
      </x:c>
      <x:c r="F10" s="159" t="str">
        <x:v>不正率/moderation工数</x:v>
      </x:c>
      <x:c r="G10" s="159" t="str">
        <x:v>誤支店0、rights 100%</x:v>
      </x:c>
      <x:c r="H10" s="159" t="str">
        <x:v>QR転載/人物</x:v>
      </x:c>
      <x:c r="I10" s="159" t="str">
        <x:v>UGC design</x:v>
      </x:c>
    </x:row>
    <x:row r="11" ht="46" customHeight="1">
      <x:c r="A11" s="159" t="str">
        <x:v>chain HQ feed</x:v>
      </x:c>
      <x:c r="B11" s="199" t="n">
        <x:v>1</x:v>
      </x:c>
      <x:c r="C11" s="199" t="n">
        <x:v>1000</x:v>
      </x:c>
      <x:c r="D11" s="159" t="str">
        <x:v>coverage accelerator</x:v>
      </x:c>
      <x:c r="E11" s="159" t="str">
        <x:v>HQ contract + location codes</x:v>
      </x:c>
      <x:c r="F11" s="159" t="str">
        <x:v>scope/menu revision/delete</x:v>
      </x:c>
      <x:c r="G11" s="159" t="str">
        <x:v>scope欠損0、delete cascade</x:v>
      </x:c>
      <x:c r="H11" s="159" t="str">
        <x:v>支店限定/menu差</x:v>
      </x:c>
      <x:c r="I11" s="159" t="str">
        <x:v>bulk flow</x:v>
      </x:c>
    </x:row>
    <x:row r="12" ht="46" customHeight="1">
      <x:c r="A12" s="159" t="str">
        <x:v>合計</x:v>
      </x:c>
      <x:c r="B12" s="199" t="n">
        <x:f>SUM(B7:B11)</x:f>
        <x:v>39</x:v>
      </x:c>
      <x:c r="C12" s="199" t="n">
        <x:f>SUM(C7:C11)</x:f>
        <x:v>1600</x:v>
      </x:c>
      <x:c r="D12" s="159" t="str"/>
      <x:c r="E12" s="159" t="str"/>
      <x:c r="F12" s="159" t="str"/>
      <x:c r="G12" s="159" t="str"/>
      <x:c r="H12" s="159" t="str"/>
      <x:c r="I12" s="159" t="str"/>
    </x:row>
    <x:row r="14">
      <x:c r="A14" s="139" t="str">
        <x:v>合格metric</x:v>
      </x:c>
      <x:c r="B14" s="139"/>
      <x:c r="C14" s="139"/>
      <x:c r="D14" s="139"/>
      <x:c r="E14" s="139"/>
      <x:c r="F14" s="139"/>
      <x:c r="G14" s="139"/>
      <x:c r="H14" s="139"/>
      <x:c r="I14" s="139"/>
    </x:row>
    <x:row r="15">
      <x:c r="A15" s="150" t="str">
        <x:v>Metric</x:v>
      </x:c>
      <x:c r="B15" s="151" t="str">
        <x:v>定義</x:v>
      </x:c>
      <x:c r="C15" s="151" t="str">
        <x:v>Gate</x:v>
      </x:c>
      <x:c r="D15" s="151" t="str">
        <x:v>分母</x:v>
      </x:c>
      <x:c r="E15" s="151" t="str">
        <x:v>層化</x:v>
      </x:c>
      <x:c r="F15" s="151" t="str">
        <x:v>測定頻度</x:v>
      </x:c>
      <x:c r="G15" s="151" t="str">
        <x:v>失敗時</x:v>
      </x:c>
      <x:c r="H15" s="151" t="str">
        <x:v>Owner</x:v>
      </x:c>
      <x:c r="I15" s="152" t="str">
        <x:v>備考</x:v>
      </x:c>
    </x:row>
    <x:row r="16" ht="48" customHeight="1">
      <x:c r="A16" s="158" t="str">
        <x:v>cross_restaurant_false_link</x:v>
      </x:c>
      <x:c r="B16" s="158" t="str">
        <x:v>他restaurant画像の公開件数</x:v>
      </x:c>
      <x:c r="C16" s="158" t="str">
        <x:v>0件。1件でrelease block</x:v>
      </x:c>
      <x:c r="D16" s="158" t="str">
        <x:v>全public + audit sample</x:v>
      </x:c>
      <x:c r="E16" s="158" t="str">
        <x:v>chain/mall/shared kitchen</x:v>
      </x:c>
      <x:c r="F16" s="158" t="str">
        <x:v>deploy毎/日次</x:v>
      </x:c>
      <x:c r="G16" s="158" t="str">
        <x:v>即非表示・原因block</x:v>
      </x:c>
      <x:c r="H16" s="158" t="str">
        <x:v>Trust</x:v>
      </x:c>
      <x:c r="I16" s="158" t="str">
        <x:v>最優先</x:v>
      </x:c>
    </x:row>
    <x:row r="17" ht="48" customHeight="1">
      <x:c r="A17" s="159" t="str">
        <x:v>exact_dish_precision</x:v>
      </x:c>
      <x:c r="B17" s="159" t="str">
        <x:v>exact表示の正解率</x:v>
      </x:c>
      <x:c r="C17" s="159" t="str">
        <x:v>&gt;=99.9% + hard evidence 100%</x:v>
      </x:c>
      <x:c r="D17" s="159" t="str">
        <x:v>public exact assets</x:v>
      </x:c>
      <x:c r="E17" s="159" t="str">
        <x:v>source/chain/item type</x:v>
      </x:c>
      <x:c r="F17" s="159" t="str">
        <x:v>週次</x:v>
      </x:c>
      <x:c r="G17" s="159" t="str">
        <x:v>source gate停止</x:v>
      </x:c>
      <x:c r="H17" s="159" t="str">
        <x:v>Data</x:v>
      </x:c>
      <x:c r="I17" s="159" t="str">
        <x:v>0 error約3,000件で95%上限≈0.1%</x:v>
      </x:c>
    </x:row>
    <x:row r="18" ht="48" customHeight="1">
      <x:c r="A18" s="159" t="str">
        <x:v>rights_completeness</x:v>
      </x:c>
      <x:c r="B18" s="159" t="str">
        <x:v>必須rights field充足</x:v>
      </x:c>
      <x:c r="C18" s="159" t="str">
        <x:v>100%</x:v>
      </x:c>
      <x:c r="D18" s="159" t="str">
        <x:v>public owned assets</x:v>
      </x:c>
      <x:c r="E18" s="159" t="str">
        <x:v>source</x:v>
      </x:c>
      <x:c r="F18" s="159" t="str">
        <x:v>publish時</x:v>
      </x:c>
      <x:c r="G18" s="159" t="str">
        <x:v>publish reject</x:v>
      </x:c>
      <x:c r="H18" s="159" t="str">
        <x:v>Legal/Platform</x:v>
      </x:c>
      <x:c r="I18" s="159" t="str">
        <x:v>null不可</x:v>
      </x:c>
    </x:row>
    <x:row r="19" ht="48" customHeight="1">
      <x:c r="A19" s="159" t="str">
        <x:v>claim_completeness</x:v>
      </x:c>
      <x:c r="B19" s="159" t="str">
        <x:v>restaurant+item verified</x:v>
      </x:c>
      <x:c r="C19" s="159" t="str">
        <x:v>100%</x:v>
      </x:c>
      <x:c r="D19" s="159" t="str">
        <x:v>public exact assets</x:v>
      </x:c>
      <x:c r="E19" s="159" t="str">
        <x:v>source</x:v>
      </x:c>
      <x:c r="F19" s="159" t="str">
        <x:v>publish時</x:v>
      </x:c>
      <x:c r="G19" s="159" t="str">
        <x:v>publish reject</x:v>
      </x:c>
      <x:c r="H19" s="159" t="str">
        <x:v>API</x:v>
      </x:c>
      <x:c r="I19" s="159" t="str">
        <x:v>score代替不可</x:v>
      </x:c>
    </x:row>
    <x:row r="20" ht="48" customHeight="1">
      <x:c r="A20" s="159" t="str">
        <x:v>takedown_latency</x:v>
      </x:c>
      <x:c r="B20" s="159" t="str">
        <x:v>失効検知から非表示</x:v>
      </x:c>
      <x:c r="C20" s="159" t="str">
        <x:v>即時resolver除外</x:v>
      </x:c>
      <x:c r="D20" s="159" t="str">
        <x:v>removed/unavailable</x:v>
      </x:c>
      <x:c r="E20" s="159" t="str">
        <x:v>provider</x:v>
      </x:c>
      <x:c r="F20" s="159" t="str">
        <x:v>継続</x:v>
      </x:c>
      <x:c r="G20" s="159" t="str">
        <x:v>incident</x:v>
      </x:c>
      <x:c r="H20" s="159" t="str">
        <x:v>Platform</x:v>
      </x:c>
      <x:c r="I20" s="159" t="str">
        <x:v>SLAは本番決定</x:v>
      </x:c>
    </x:row>
    <x:row r="21" ht="48" customHeight="1">
      <x:c r="A21" s="159" t="str">
        <x:v>exact_owned_coverage</x:v>
      </x:c>
      <x:c r="B21" s="159" t="str">
        <x:v>verified owned exact / active items</x:v>
      </x:c>
      <x:c r="C21" s="159" t="str">
        <x:v>source別増加</x:v>
      </x:c>
      <x:c r="D21" s="159" t="str">
        <x:v>active menu items</x:v>
      </x:c>
      <x:c r="E21" s="159" t="str">
        <x:v>地域/chain/個店</x:v>
      </x:c>
      <x:c r="F21" s="159" t="str">
        <x:v>週次</x:v>
      </x:c>
      <x:c r="G21" s="159" t="str">
        <x:v>施策見直し</x:v>
      </x:c>
      <x:c r="H21" s="159" t="str">
        <x:v>Growth</x:v>
      </x:c>
      <x:c r="I21" s="159" t="str">
        <x:v>embed/placeholder除外</x:v>
      </x:c>
    </x:row>
    <x:row r="22" ht="48" customHeight="1">
      <x:c r="A22" s="159" t="str">
        <x:v>exact_embed_coverage</x:v>
      </x:c>
      <x:c r="B22" s="159" t="str">
        <x:v>有効owner-confirmed embed / active items</x:v>
      </x:c>
      <x:c r="C22" s="159" t="str">
        <x:v>別集計</x:v>
      </x:c>
      <x:c r="D22" s="159" t="str">
        <x:v>active menu items</x:v>
      </x:c>
      <x:c r="E22" s="159" t="str">
        <x:v>provider</x:v>
      </x:c>
      <x:c r="F22" s="159" t="str">
        <x:v>週次</x:v>
      </x:c>
      <x:c r="G22" s="159" t="str">
        <x:v>fallback</x:v>
      </x:c>
      <x:c r="H22" s="159" t="str">
        <x:v>Growth</x:v>
      </x:c>
      <x:c r="I22" s="159" t="str">
        <x:v>ownedと混ぜない</x:v>
      </x:c>
    </x:row>
    <x:row r="23" ht="48" customHeight="1">
      <x:c r="A23" s="159" t="str">
        <x:v>moderation_cost</x:v>
      </x:c>
      <x:c r="B23" s="159" t="str">
        <x:v>1 approved asset当たり人分</x:v>
      </x:c>
      <x:c r="C23" s="159" t="str">
        <x:v>事業上限を設定</x:v>
      </x:c>
      <x:c r="D23" s="159" t="str">
        <x:v>UGC/assets</x:v>
      </x:c>
      <x:c r="E23" s="159" t="str">
        <x:v>risk bucket</x:v>
      </x:c>
      <x:c r="F23" s="159" t="str">
        <x:v>週次</x:v>
      </x:c>
      <x:c r="G23" s="159" t="str">
        <x:v>flow調整</x:v>
      </x:c>
      <x:c r="H23" s="159" t="str">
        <x:v>Ops</x:v>
      </x:c>
      <x:c r="I23" s="159" t="str">
        <x:v>API無料≠運用無料</x:v>
      </x:c>
    </x:row>
    <x:row r="25">
      <x:c r="A25" s="139" t="str">
        <x:v>adversarial gold set</x:v>
      </x:c>
      <x:c r="B25" s="139"/>
      <x:c r="C25" s="139"/>
      <x:c r="D25" s="139"/>
      <x:c r="E25" s="139"/>
      <x:c r="F25" s="139"/>
      <x:c r="G25" s="139"/>
      <x:c r="H25" s="139"/>
      <x:c r="I25" s="139"/>
    </x:row>
    <x:row r="26">
      <x:c r="A26" s="150" t="str">
        <x:v>Bucket</x:v>
      </x:c>
      <x:c r="B26" s="151" t="str">
        <x:v>例</x:v>
      </x:c>
      <x:c r="C26" s="151" t="str">
        <x:v>restaurant risk</x:v>
      </x:c>
      <x:c r="D26" s="151" t="str">
        <x:v>dish risk</x:v>
      </x:c>
      <x:c r="E26" s="151" t="str">
        <x:v>rights risk</x:v>
      </x:c>
      <x:c r="F26" s="151" t="str">
        <x:v>freshness risk</x:v>
      </x:c>
      <x:c r="G26" s="151" t="str">
        <x:v>期待判定</x:v>
      </x:c>
      <x:c r="H26" s="151" t="str">
        <x:v>必要件数</x:v>
      </x:c>
      <x:c r="I26" s="152" t="str">
        <x:v>備考</x:v>
      </x:c>
    </x:row>
    <x:row r="27" ht="42" customHeight="1">
      <x:c r="A27" s="158" t="str">
        <x:v>chain</x:v>
      </x:c>
      <x:c r="B27" s="158" t="str">
        <x:v>同brand複数支店/共通画像</x:v>
      </x:c>
      <x:c r="C27" s="158" t="str">
        <x:v>高</x:v>
      </x:c>
      <x:c r="D27" s="158" t="str">
        <x:v>中</x:v>
      </x:c>
      <x:c r="E27" s="158" t="str">
        <x:v>中</x:v>
      </x:c>
      <x:c r="F27" s="158" t="str">
        <x:v>中</x:v>
      </x:c>
      <x:c r="G27" s="158" t="str">
        <x:v>明示scope以外abstain</x:v>
      </x:c>
      <x:c r="H27" s="198" t="n">
        <x:v>500</x:v>
      </x:c>
      <x:c r="I27" s="158" t="str">
        <x:v>location set</x:v>
      </x:c>
    </x:row>
    <x:row r="28" ht="42" customHeight="1">
      <x:c r="A28" s="159" t="str">
        <x:v>mall/駅ビル</x:v>
      </x:c>
      <x:c r="B28" s="159" t="str">
        <x:v>近距離・類似名</x:v>
      </x:c>
      <x:c r="C28" s="159" t="str">
        <x:v>高</x:v>
      </x:c>
      <x:c r="D28" s="159" t="str">
        <x:v>中</x:v>
      </x:c>
      <x:c r="E28" s="159" t="str">
        <x:v>低</x:v>
      </x:c>
      <x:c r="F28" s="159" t="str">
        <x:v>中</x:v>
      </x:c>
      <x:c r="G28" s="159" t="str">
        <x:v>hard location key必須</x:v>
      </x:c>
      <x:c r="H28" s="199" t="n">
        <x:v>300</x:v>
      </x:c>
      <x:c r="I28" s="159" t="str">
        <x:v>geofence不十分</x:v>
      </x:c>
    </x:row>
    <x:row r="29" ht="42" customHeight="1">
      <x:c r="A29" s="159" t="str">
        <x:v>shared kitchen</x:v>
      </x:c>
      <x:c r="B29" s="159" t="str">
        <x:v>同住所複数brand</x:v>
      </x:c>
      <x:c r="C29" s="159" t="str">
        <x:v>高</x:v>
      </x:c>
      <x:c r="D29" s="159" t="str">
        <x:v>高</x:v>
      </x:c>
      <x:c r="E29" s="159" t="str">
        <x:v>中</x:v>
      </x:c>
      <x:c r="F29" s="159" t="str">
        <x:v>高</x:v>
      </x:c>
      <x:c r="G29" s="159" t="str">
        <x:v>merchant brand key必須</x:v>
      </x:c>
      <x:c r="H29" s="199" t="n">
        <x:v>300</x:v>
      </x:c>
      <x:c r="I29" s="159" t="str">
        <x:v>delivery含む</x:v>
      </x:c>
    </x:row>
    <x:row r="30" ht="42" customHeight="1">
      <x:c r="A30" s="159" t="str">
        <x:v>Instagram</x:v>
      </x:c>
      <x:c r="B30" s="159" t="str">
        <x:v>corporate/carousel/repost/collab</x:v>
      </x:c>
      <x:c r="C30" s="159" t="str">
        <x:v>高</x:v>
      </x:c>
      <x:c r="D30" s="159" t="str">
        <x:v>高</x:v>
      </x:c>
      <x:c r="E30" s="159" t="str">
        <x:v>高</x:v>
      </x:c>
      <x:c r="F30" s="159" t="str">
        <x:v>高</x:v>
      </x:c>
      <x:c r="G30" s="159" t="str">
        <x:v>owner exact確認まで非公開</x:v>
      </x:c>
      <x:c r="H30" s="199" t="n">
        <x:v>600</x:v>
      </x:c>
      <x:c r="I30" s="159" t="str">
        <x:v>embed外部</x:v>
      </x:c>
    </x:row>
    <x:row r="31" ht="42" customHeight="1">
      <x:c r="A31" s="159" t="str">
        <x:v>menu revision</x:v>
      </x:c>
      <x:c r="B31" s="159" t="str">
        <x:v>季節/同名差替/販売終了</x:v>
      </x:c>
      <x:c r="C31" s="159" t="str">
        <x:v>低</x:v>
      </x:c>
      <x:c r="D31" s="159" t="str">
        <x:v>高</x:v>
      </x:c>
      <x:c r="E31" s="159" t="str">
        <x:v>低</x:v>
      </x:c>
      <x:c r="F31" s="159" t="str">
        <x:v>高</x:v>
      </x:c>
      <x:c r="G31" s="159" t="str">
        <x:v>revision不一致archive</x:v>
      </x:c>
      <x:c r="H31" s="199" t="n">
        <x:v>500</x:v>
      </x:c>
      <x:c r="I31" s="159" t="str">
        <x:v>time travel</x:v>
      </x:c>
    </x:row>
    <x:row r="32" ht="42" customHeight="1">
      <x:c r="A32" s="159" t="str">
        <x:v>UGC abuse</x:v>
      </x:c>
      <x:c r="B32" s="159" t="str">
        <x:v>QR転載/別画面/人物</x:v>
      </x:c>
      <x:c r="C32" s="159" t="str">
        <x:v>中</x:v>
      </x:c>
      <x:c r="D32" s="159" t="str">
        <x:v>高</x:v>
      </x:c>
      <x:c r="E32" s="159" t="str">
        <x:v>高</x:v>
      </x:c>
      <x:c r="F32" s="159" t="str">
        <x:v>中</x:v>
      </x:c>
      <x:c r="G32" s="159" t="str">
        <x:v>moderation/reject</x:v>
      </x:c>
      <x:c r="H32" s="199" t="n">
        <x:v>500</x:v>
      </x:c>
      <x:c r="I32" s="159" t="str">
        <x:v>receipt proof</x:v>
      </x:c>
    </x:row>
    <x:row r="33" ht="42" customHeight="1">
      <x:c r="A33" s="159" t="str">
        <x:v>ordinary</x:v>
      </x:c>
      <x:c r="B33" s="159" t="str">
        <x:v>単店・単品</x:v>
      </x:c>
      <x:c r="C33" s="159" t="str">
        <x:v>低</x:v>
      </x:c>
      <x:c r="D33" s="159" t="str">
        <x:v>低</x:v>
      </x:c>
      <x:c r="E33" s="159" t="str">
        <x:v>中</x:v>
      </x:c>
      <x:c r="F33" s="159" t="str">
        <x:v>中</x:v>
      </x:c>
      <x:c r="G33" s="159" t="str">
        <x:v>publish exact</x:v>
      </x:c>
      <x:c r="H33" s="199" t="n">
        <x:v>300</x:v>
      </x:c>
      <x:c r="I33" s="159" t="str">
        <x:v>baseline</x:v>
      </x:c>
    </x:row>
    <x:row r="34" ht="42" customHeight="1">
      <x:c r="A34" s="159" t="str">
        <x:v>合計</x:v>
      </x:c>
      <x:c r="B34" s="159" t="str"/>
      <x:c r="C34" s="159" t="str"/>
      <x:c r="D34" s="159" t="str"/>
      <x:c r="E34" s="159" t="str"/>
      <x:c r="F34" s="159" t="str"/>
      <x:c r="G34" s="159" t="str"/>
      <x:c r="H34" s="199" t="n">
        <x:f>SUM(H27:H33)</x:f>
        <x:v>3000</x:v>
      </x:c>
      <x:c r="I34" s="159" t="str">
        <x:v>最低3,000件</x:v>
      </x:c>
    </x:row>
  </x:sheetData>
  <x:mergeCells>
    <x:mergeCell ref="A1:I2"/>
    <x:mergeCell ref="A3:I3"/>
    <x:mergeCell ref="A5:I5"/>
    <x:mergeCell ref="A14:I14"/>
    <x:mergeCell ref="A25:I25"/>
  </x:mergeCells>
  <x:pageMargins left="0.7" right="0.7" top="0.75" bottom="0.75" header="0.3" footer="0.3"/>
  <x:tableParts count="3">
    <x:tablePart xmlns:r="http://schemas.openxmlformats.org/officeDocument/2006/relationships" r:id="R362941d3385e4cba"/>
    <x:tablePart xmlns:r="http://schemas.openxmlformats.org/officeDocument/2006/relationships" r:id="R9a52a6b4a4974a01"/>
    <x:tablePart xmlns:r="http://schemas.openxmlformats.org/officeDocument/2006/relationships" r:id="Re02d10c7586d43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76" hidden="0" customWidth="1"/>
    <x:col min="4" max="4" width="14" hidden="0" customWidth="1"/>
    <x:col min="5" max="5" width="38" hidden="0" customWidth="1"/>
    <x:col min="6" max="6" width="31" hidden="0" customWidth="1"/>
  </x:cols>
  <x:sheetData>
    <x:row r="1" ht="26" customHeight="1">
      <x:c r="A1" s="4" t="str">
        <x:v>一次資料・検証先</x:v>
      </x:c>
      <x:c r="B1" s="4"/>
      <x:c r="C1" s="4"/>
      <x:c r="D1" s="4"/>
      <x:c r="E1" s="4"/>
      <x:c r="F1" s="4"/>
    </x:row>
    <x:row r="2" ht="26" customHeight="1">
      <x:c r="A2" s="4"/>
      <x:c r="B2" s="4"/>
      <x:c r="C2" s="4"/>
      <x:c r="D2" s="4"/>
      <x:c r="E2" s="4"/>
      <x:c r="F2" s="4"/>
    </x:row>
    <x:row r="3" ht="30" customHeight="1">
      <x:c r="A3" s="8" t="str">
        <x:v>可能な限り公式documentを採用。最終契約前にURL先の最新版、app review、quota、保存・表示条件を再確認する。</x:v>
      </x:c>
      <x:c r="B3" s="8"/>
      <x:c r="C3" s="8"/>
      <x:c r="D3" s="8"/>
      <x:c r="E3" s="8"/>
      <x:c r="F3" s="8"/>
    </x:row>
    <x:row r="5">
      <x:c r="A5" s="150" t="str">
        <x:v>区分</x:v>
      </x:c>
      <x:c r="B5" s="151" t="str">
        <x:v>資料</x:v>
      </x:c>
      <x:c r="C5" s="151" t="str">
        <x:v>URL</x:v>
      </x:c>
      <x:c r="D5" s="151" t="str">
        <x:v>確認日</x:v>
      </x:c>
      <x:c r="E5" s="151" t="str">
        <x:v>支える判断</x:v>
      </x:c>
      <x:c r="F5" s="152" t="str">
        <x:v>注意</x:v>
      </x:c>
    </x:row>
    <x:row r="6" ht="44" customHeight="1">
      <x:c r="A6" s="158" t="str">
        <x:v>Meta</x:v>
      </x:c>
      <x:c r="B6" s="158" t="str">
        <x:v>Tokenless Access to Meta oEmbed APIs</x:v>
      </x:c>
      <x:c r="C6" s="200" t="str">
        <x:v>https://developers.facebook.com/blog/post/2026/06/15/tokenless-access-to-meta-oembed-apis/</x:v>
      </x:c>
      <x:c r="D6" s="158" t="str">
        <x:v>2026-08-10</x:v>
      </x:c>
      <x:c r="E6" s="158" t="str">
        <x:v>tokenless再導入、1,000 req/hour</x:v>
      </x:c>
      <x:c r="F6" s="158" t="str">
        <x:v>limit・terms更新を再確認</x:v>
      </x:c>
    </x:row>
    <x:row r="7" ht="44" customHeight="1">
      <x:c r="A7" s="159" t="str">
        <x:v>Meta</x:v>
      </x:c>
      <x:c r="B7" s="159" t="str">
        <x:v>Instagram oEmbed</x:v>
      </x:c>
      <x:c r="C7" s="201" t="str">
        <x:v>https://developers.facebook.com/documentation/instagram-platform/oembed</x:v>
      </x:c>
      <x:c r="D7" s="159" t="str">
        <x:v>2026-08-10</x:v>
      </x:c>
      <x:c r="E7" s="159" t="str">
        <x:v>既知URL→official embed HTML</x:v>
      </x:c>
      <x:c r="F7" s="159" t="str">
        <x:v>search APIではない</x:v>
      </x:c>
    </x:row>
    <x:row r="8" ht="44" customHeight="1">
      <x:c r="A8" s="159" t="str">
        <x:v>Meta</x:v>
      </x:c>
      <x:c r="B8" s="159" t="str">
        <x:v>Instagram Platform Changelog</x:v>
      </x:c>
      <x:c r="C8" s="201" t="str">
        <x:v>https://developers.facebook.com/documentation/instagram-platform/changelog</x:v>
      </x:c>
      <x:c r="D8" s="159" t="str">
        <x:v>2026-08-10</x:v>
      </x:c>
      <x:c r="E8" s="159" t="str">
        <x:v>旧author/thumbnail fieldの移行</x:v>
      </x:c>
      <x:c r="F8" s="159" t="str">
        <x:v>version変更監視</x:v>
      </x:c>
    </x:row>
    <x:row r="9" ht="44" customHeight="1">
      <x:c r="A9" s="159" t="str">
        <x:v>Meta</x:v>
      </x:c>
      <x:c r="B9" s="159" t="str">
        <x:v>Meta oEmbed Read</x:v>
      </x:c>
      <x:c r="C9" s="201" t="str">
        <x:v>https://developers.facebook.com/docs/features-reference/meta-oembed-read/</x:v>
      </x:c>
      <x:c r="D9" s="159" t="str">
        <x:v>2026-08-10</x:v>
      </x:c>
      <x:c r="E9" s="159" t="str">
        <x:v>feature条件</x:v>
      </x:c>
      <x:c r="F9" s="159" t="str">
        <x:v>App/terms確認</x:v>
      </x:c>
    </x:row>
    <x:row r="10" ht="44" customHeight="1">
      <x:c r="A10" s="159" t="str">
        <x:v>Meta</x:v>
      </x:c>
      <x:c r="B10" s="159" t="str">
        <x:v>Instagram API with Instagram Login</x:v>
      </x:c>
      <x:c r="C10" s="201" t="str">
        <x:v>https://developers.facebook.com/documentation/instagram-platform/instagram-api-with-instagram-login</x:v>
      </x:c>
      <x:c r="D10" s="159" t="str">
        <x:v>2026-08-10</x:v>
      </x:c>
      <x:c r="E10" s="159" t="str">
        <x:v>professional account owner OAuth</x:v>
      </x:c>
      <x:c r="F10" s="159" t="str">
        <x:v>Advanced Access/App Review</x:v>
      </x:c>
    </x:row>
    <x:row r="11" ht="44" customHeight="1">
      <x:c r="A11" s="159" t="str">
        <x:v>Instagram</x:v>
      </x:c>
      <x:c r="B11" s="159" t="str">
        <x:v>Help: embed public content</x:v>
      </x:c>
      <x:c r="C11" s="201" t="str">
        <x:v>https://help.instagram.com/620154495870484/</x:v>
      </x:c>
      <x:c r="D11" s="159" t="str">
        <x:v>2026-08-10</x:v>
      </x:c>
      <x:c r="E11" s="159" t="str">
        <x:v>public post/reel等のembed条件</x:v>
      </x:c>
      <x:c r="F11" s="159" t="str">
        <x:v>private等は不可</x:v>
      </x:c>
    </x:row>
    <x:row r="12" ht="44" customHeight="1">
      <x:c r="A12" s="159" t="str">
        <x:v>Instagram</x:v>
      </x:c>
      <x:c r="B12" s="159" t="str">
        <x:v>Help: turn embeds off</x:v>
      </x:c>
      <x:c r="C12" s="201" t="str">
        <x:v>https://help.instagram.com/252460186989212/</x:v>
      </x:c>
      <x:c r="D12" s="159" t="str">
        <x:v>2026-08-10</x:v>
      </x:c>
      <x:c r="E12" s="159" t="str">
        <x:v>ownerがembed無効化可能</x:v>
      </x:c>
      <x:c r="F12" s="159" t="str">
        <x:v>availability監視</x:v>
      </x:c>
    </x:row>
    <x:row r="13" ht="44" customHeight="1">
      <x:c r="A13" s="159" t="str">
        <x:v>Square</x:v>
      </x:c>
      <x:c r="B13" s="159" t="str">
        <x:v>Catalog API</x:v>
      </x:c>
      <x:c r="C13" s="201" t="str">
        <x:v>https://developer.squareup.com/reference/square/catalog-api</x:v>
      </x:c>
      <x:c r="D13" s="159" t="str">
        <x:v>2026-08-10</x:v>
      </x:c>
      <x:c r="E13" s="159" t="str">
        <x:v>stable catalog item/variation/category/image</x:v>
      </x:c>
      <x:c r="F13" s="159" t="str">
        <x:v>location applicability</x:v>
      </x:c>
    </x:row>
    <x:row r="14" ht="44" customHeight="1">
      <x:c r="A14" s="159" t="str">
        <x:v>Square</x:v>
      </x:c>
      <x:c r="B14" s="159" t="str">
        <x:v>OAuth overview</x:v>
      </x:c>
      <x:c r="C14" s="201" t="str">
        <x:v>https://developer.squareup.com/docs/oauth-api/overview</x:v>
      </x:c>
      <x:c r="D14" s="159" t="str">
        <x:v>2026-08-10</x:v>
      </x:c>
      <x:c r="E14" s="159" t="str">
        <x:v>seller authorization</x:v>
      </x:c>
      <x:c r="F14" s="159" t="str">
        <x:v>revocation/token管理</x:v>
      </x:c>
    </x:row>
    <x:row r="15" ht="44" customHeight="1">
      <x:c r="A15" s="159" t="str">
        <x:v>Square</x:v>
      </x:c>
      <x:c r="B15" s="159" t="str">
        <x:v>Manage catalog images</x:v>
      </x:c>
      <x:c r="C15" s="201" t="str">
        <x:v>https://developer.squareup.com/docs/catalog-api/manage-images</x:v>
      </x:c>
      <x:c r="D15" s="159" t="str">
        <x:v>2026-08-10</x:v>
      </x:c>
      <x:c r="E15" s="159" t="str">
        <x:v>image IDとcatalog object関連</x:v>
      </x:c>
      <x:c r="F15" s="159" t="str">
        <x:v>保存・利用権を別確認</x:v>
      </x:c>
    </x:row>
    <x:row r="16" ht="44" customHeight="1">
      <x:c r="A16" s="159" t="str">
        <x:v>GBP</x:v>
      </x:c>
      <x:c r="B16" s="159" t="str">
        <x:v>accounts.locations.media</x:v>
      </x:c>
      <x:c r="C16" s="201" t="str">
        <x:v>https://developers.google.com/my-business/reference/rest/v4/accounts.locations.media</x:v>
      </x:c>
      <x:c r="D16" s="159" t="str">
        <x:v>2026-08-10</x:v>
      </x:c>
      <x:c r="E16" s="159" t="str">
        <x:v>managed exact location、MENU/FOOD_AND_DRINK</x:v>
      </x:c>
      <x:c r="F16" s="159" t="str">
        <x:v>customer attribution</x:v>
      </x:c>
    </x:row>
    <x:row r="17" ht="44" customHeight="1">
      <x:c r="A17" s="159" t="str">
        <x:v>GBP</x:v>
      </x:c>
      <x:c r="B17" s="159" t="str">
        <x:v>Business Profile v4 / FoodMenus</x:v>
      </x:c>
      <x:c r="C17" s="201" t="str">
        <x:v>https://developers.google.com/my-business/reference/rpc/google.mybusiness.v4</x:v>
      </x:c>
      <x:c r="D17" s="159" t="str">
        <x:v>2026-08-10</x:v>
      </x:c>
      <x:c r="E17" s="159" t="str">
        <x:v>FoodMenuItem、allergen、price、media_keys</x:v>
      </x:c>
      <x:c r="F17" s="159" t="str">
        <x:v>owner/manager OAuth</x:v>
      </x:c>
    </x:row>
    <x:row r="18" ht="44" customHeight="1">
      <x:c r="A18" s="159" t="str">
        <x:v>GBP</x:v>
      </x:c>
      <x:c r="B18" s="159" t="str">
        <x:v>Pricing</x:v>
      </x:c>
      <x:c r="C18" s="201" t="str">
        <x:v>https://developers.google.com/my-business/content/pricing</x:v>
      </x:c>
      <x:c r="D18" s="159" t="str">
        <x:v>2026-08-10</x:v>
      </x:c>
      <x:c r="E18" s="159" t="str">
        <x:v>registered users no charge</x:v>
      </x:c>
      <x:c r="F18" s="159" t="str">
        <x:v>access approvalは別</x:v>
      </x:c>
    </x:row>
    <x:row r="19" ht="44" customHeight="1">
      <x:c r="A19" s="159" t="str">
        <x:v>GBP</x:v>
      </x:c>
      <x:c r="B19" s="159" t="str">
        <x:v>API policies</x:v>
      </x:c>
      <x:c r="C19" s="201" t="str">
        <x:v>https://developers.google.com/my-business/content/policies</x:v>
      </x:c>
      <x:c r="D19" s="159" t="str">
        <x:v>2026-08-10</x:v>
      </x:c>
      <x:c r="E19" s="159" t="str">
        <x:v>listing管理用途、cache/storage制限</x:v>
      </x:c>
      <x:c r="F19" s="159" t="str">
        <x:v>media master化しない</x:v>
      </x:c>
    </x:row>
    <x:row r="20" ht="44" customHeight="1">
      <x:c r="A20" s="159" t="str">
        <x:v>Google Maps</x:v>
      </x:c>
      <x:c r="B20" s="159" t="str">
        <x:v>Maps Platform Terms</x:v>
      </x:c>
      <x:c r="C20" s="201" t="str">
        <x:v>https://cloud.google.com/maps-platform/terms</x:v>
      </x:c>
      <x:c r="D20" s="159" t="str">
        <x:v>2026-08-10</x:v>
      </x:c>
      <x:c r="E20" s="159" t="str">
        <x:v>storage/reshare/rehost/review等の制限</x:v>
      </x:c>
      <x:c r="F20" s="159" t="str">
        <x:v>法務確認</x:v>
      </x:c>
    </x:row>
    <x:row r="21" ht="44" customHeight="1">
      <x:c r="A21" s="159" t="str">
        <x:v>Google Maps</x:v>
      </x:c>
      <x:c r="B21" s="159" t="str">
        <x:v>Service Specific Terms</x:v>
      </x:c>
      <x:c r="C21" s="201" t="str">
        <x:v>https://cloud.google.com/maps-platform/terms/maps-service-terms</x:v>
      </x:c>
      <x:c r="D21" s="159" t="str">
        <x:v>2026-08-10</x:v>
      </x:c>
      <x:c r="E21" s="159" t="str">
        <x:v>service別条件</x:v>
      </x:c>
      <x:c r="F21" s="159" t="str">
        <x:v>version更新</x:v>
      </x:c>
    </x:row>
    <x:row r="22" ht="44" customHeight="1">
      <x:c r="A22" s="159" t="str">
        <x:v>Google Places</x:v>
      </x:c>
      <x:c r="B22" s="159" t="str">
        <x:v>Place Photos</x:v>
      </x:c>
      <x:c r="C22" s="201" t="str">
        <x:v>https://developers.google.com/maps/documentation/places/web-service/place-photos</x:v>
      </x:c>
      <x:c r="D22" s="159" t="str">
        <x:v>2026-08-10</x:v>
      </x:c>
      <x:c r="E22" s="159" t="str">
        <x:v>photo name cache不可・期限切れ</x:v>
      </x:c>
      <x:c r="F22" s="159" t="str">
        <x:v>live用途</x:v>
      </x:c>
    </x:row>
    <x:row r="23" ht="44" customHeight="1">
      <x:c r="A23" s="159" t="str">
        <x:v>Schema.org</x:v>
      </x:c>
      <x:c r="B23" s="159" t="str">
        <x:v>MenuItem</x:v>
      </x:c>
      <x:c r="C23" s="201" t="str">
        <x:v>https://schema.org/MenuItem</x:v>
      </x:c>
      <x:c r="D23" s="159" t="str">
        <x:v>2026-08-10</x:v>
      </x:c>
      <x:c r="E23" s="159" t="str">
        <x:v>name/image/offers/identifier候補</x:v>
      </x:c>
      <x:c r="F23" s="159" t="str">
        <x:v>copyright licenseではない</x:v>
      </x:c>
    </x:row>
    <x:row r="24" ht="44" customHeight="1">
      <x:c r="A24" s="159" t="str">
        <x:v>Schema.org</x:v>
      </x:c>
      <x:c r="B24" s="159" t="str">
        <x:v>Menu</x:v>
      </x:c>
      <x:c r="C24" s="201" t="str">
        <x:v>https://schema.org/Menu</x:v>
      </x:c>
      <x:c r="D24" s="159" t="str">
        <x:v>2026-08-10</x:v>
      </x:c>
      <x:c r="E24" s="159" t="str">
        <x:v>menu section/item構造</x:v>
      </x:c>
      <x:c r="F24" s="159" t="str">
        <x:v>鮮度確認</x:v>
      </x:c>
    </x:row>
    <x:row r="25" ht="44" customHeight="1">
      <x:c r="A25" s="159" t="str">
        <x:v>Schema.org</x:v>
      </x:c>
      <x:c r="B25" s="159" t="str">
        <x:v>Restaurant</x:v>
      </x:c>
      <x:c r="C25" s="201" t="str">
        <x:v>https://schema.org/Restaurant</x:v>
      </x:c>
      <x:c r="D25" s="159" t="str">
        <x:v>2026-08-10</x:v>
      </x:c>
      <x:c r="E25" s="159" t="str">
        <x:v>hasMenu/restaurant metadata</x:v>
      </x:c>
      <x:c r="F25" s="159" t="str">
        <x:v>支店同定は追加確認</x:v>
      </x:c>
    </x:row>
    <x:row r="26" ht="44" customHeight="1">
      <x:c r="A26" s="159" t="str">
        <x:v>Wikimedia</x:v>
      </x:c>
      <x:c r="B26" s="159" t="str">
        <x:v>Reusing content outside Wikimedia</x:v>
      </x:c>
      <x:c r="C26" s="201" t="str">
        <x:v>https://commons.wikimedia.org/wiki/Commons:Reusing_content_outside_Wikimedia</x:v>
      </x:c>
      <x:c r="D26" s="159" t="str">
        <x:v>2026-08-10</x:v>
      </x:c>
      <x:c r="E26" s="159" t="str">
        <x:v>file別再利用条件</x:v>
      </x:c>
      <x:c r="F26" s="159" t="str">
        <x:v>attribution/SA</x:v>
      </x:c>
    </x:row>
    <x:row r="27" ht="44" customHeight="1">
      <x:c r="A27" s="159" t="str">
        <x:v>Wikimedia</x:v>
      </x:c>
      <x:c r="B27" s="159" t="str">
        <x:v>Commons Licensing</x:v>
      </x:c>
      <x:c r="C27" s="201" t="str">
        <x:v>https://commons.wikimedia.org/wiki/Commons:Licensing</x:v>
      </x:c>
      <x:c r="D27" s="159" t="str">
        <x:v>2026-08-10</x:v>
      </x:c>
      <x:c r="E27" s="159" t="str">
        <x:v>license検証</x:v>
      </x:c>
      <x:c r="F27" s="159" t="str">
        <x:v>exact dish coverageは低い</x:v>
      </x:c>
    </x:row>
    <x:row r="28" ht="44" customHeight="1">
      <x:c r="A28" s="159" t="str">
        <x:v>Recruit</x:v>
      </x:c>
      <x:c r="B28" s="159" t="str">
        <x:v>Hot Pepper API reference</x:v>
      </x:c>
      <x:c r="C28" s="201" t="str">
        <x:v>https://webservice.recruit.co.jp/doc/hotpepper/reference.html</x:v>
      </x:c>
      <x:c r="D28" s="159" t="str">
        <x:v>2026-08-10</x:v>
      </x:c>
      <x:c r="E28" s="159" t="str">
        <x:v>店舗top photo等</x:v>
      </x:c>
      <x:c r="F28" s="159" t="str">
        <x:v>exact dishでない</x:v>
      </x:c>
    </x:row>
    <x:row r="29" ht="44" customHeight="1">
      <x:c r="A29" s="159" t="str">
        <x:v>Recruit</x:v>
      </x:c>
      <x:c r="B29" s="159" t="str">
        <x:v>Hot Pepper API guideline</x:v>
      </x:c>
      <x:c r="C29" s="201" t="str">
        <x:v>https://webservice.recruit.co.jp/doc/hotpepper/guideline.html</x:v>
      </x:c>
      <x:c r="D29" s="159" t="str">
        <x:v>2026-08-10</x:v>
      </x:c>
      <x:c r="E29" s="159" t="str">
        <x:v>credit/cache/鮮度</x:v>
      </x:c>
      <x:c r="F29" s="159" t="str">
        <x:v>master化不可</x:v>
      </x:c>
    </x:row>
    <x:row r="30" ht="44" customHeight="1">
      <x:c r="A30" s="159" t="str">
        <x:v>Recruit</x:v>
      </x:c>
      <x:c r="B30" s="159" t="str">
        <x:v>Web Service利用規約</x:v>
      </x:c>
      <x:c r="C30" s="201" t="str">
        <x:v>https://webservice.recruit.co.jp/regulation.html</x:v>
      </x:c>
      <x:c r="D30" s="159" t="str">
        <x:v>2026-08-10</x:v>
      </x:c>
      <x:c r="E30" s="159" t="str">
        <x:v>商用・再販等条件</x:v>
      </x:c>
      <x:c r="F30" s="159" t="str">
        <x:v>事業model確認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2e8ad3b9a24140a7"/>
  </x:tableParts>
</x:worksheet>
</file>